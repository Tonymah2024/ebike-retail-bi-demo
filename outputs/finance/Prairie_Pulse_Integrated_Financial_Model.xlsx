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ahirweanthony/claude-analytics/ebike-retail-bi-demo/outputs/finance/"/>
    </mc:Choice>
  </mc:AlternateContent>
  <xr:revisionPtr revIDLastSave="0" documentId="13_ncr:1_{8CDD6E98-8F9E-5447-95C7-296C7CFDBEE4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README" sheetId="1" r:id="rId1"/>
    <sheet name="Assumptions" sheetId="2" r:id="rId2"/>
    <sheet name="Drivers" sheetId="3" r:id="rId3"/>
    <sheet name="Forecast" sheetId="4" r:id="rId4"/>
    <sheet name="Scenario_Results" sheetId="5" r:id="rId5"/>
    <sheet name="Checks" sheetId="6" r:id="rId6"/>
    <sheet name="Hist_IS" sheetId="7" r:id="rId7"/>
    <sheet name="Hist_BS" sheetId="8" r:id="rId8"/>
    <sheet name="Hist_CF" sheetId="9" r:id="rId9"/>
    <sheet name="Hist_Bal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0" i="10" l="1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AJ30" i="9"/>
  <c r="AI30" i="9"/>
  <c r="AL30" i="9" s="1"/>
  <c r="AH30" i="9"/>
  <c r="AG30" i="9"/>
  <c r="AF30" i="9"/>
  <c r="AE30" i="9"/>
  <c r="AD30" i="9"/>
  <c r="AC30" i="9"/>
  <c r="AB30" i="9"/>
  <c r="AA30" i="9"/>
  <c r="Z30" i="9"/>
  <c r="AK30" i="9" s="1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AJ28" i="9"/>
  <c r="AI26" i="9"/>
  <c r="AH26" i="9"/>
  <c r="AL26" i="9" s="1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AL25" i="9"/>
  <c r="AK25" i="9"/>
  <c r="AJ25" i="9"/>
  <c r="AL24" i="9"/>
  <c r="AK24" i="9"/>
  <c r="AJ24" i="9"/>
  <c r="AL23" i="9"/>
  <c r="AK23" i="9"/>
  <c r="AJ23" i="9"/>
  <c r="AL22" i="9"/>
  <c r="AK22" i="9"/>
  <c r="AJ22" i="9"/>
  <c r="AL21" i="9"/>
  <c r="AK21" i="9"/>
  <c r="AJ21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L19" i="9"/>
  <c r="AK19" i="9"/>
  <c r="AJ19" i="9"/>
  <c r="AL18" i="9"/>
  <c r="AK18" i="9"/>
  <c r="AJ18" i="9"/>
  <c r="AI16" i="9"/>
  <c r="AH16" i="9"/>
  <c r="AH17" i="9" s="1"/>
  <c r="AG16" i="9"/>
  <c r="AG17" i="9" s="1"/>
  <c r="AG27" i="9" s="1"/>
  <c r="AF16" i="9"/>
  <c r="AF17" i="9" s="1"/>
  <c r="AF27" i="9" s="1"/>
  <c r="AE16" i="9"/>
  <c r="AE17" i="9" s="1"/>
  <c r="AE27" i="9" s="1"/>
  <c r="AD16" i="9"/>
  <c r="AD17" i="9" s="1"/>
  <c r="AD27" i="9" s="1"/>
  <c r="AC16" i="9"/>
  <c r="AC17" i="9" s="1"/>
  <c r="AC27" i="9" s="1"/>
  <c r="AB16" i="9"/>
  <c r="AB17" i="9" s="1"/>
  <c r="AA16" i="9"/>
  <c r="AA17" i="9" s="1"/>
  <c r="Z16" i="9"/>
  <c r="Z17" i="9" s="1"/>
  <c r="Y16" i="9"/>
  <c r="Y17" i="9" s="1"/>
  <c r="Y27" i="9" s="1"/>
  <c r="X16" i="9"/>
  <c r="X17" i="9" s="1"/>
  <c r="W16" i="9"/>
  <c r="W17" i="9" s="1"/>
  <c r="V16" i="9"/>
  <c r="V17" i="9" s="1"/>
  <c r="U16" i="9"/>
  <c r="U17" i="9" s="1"/>
  <c r="U27" i="9" s="1"/>
  <c r="T16" i="9"/>
  <c r="T17" i="9" s="1"/>
  <c r="T27" i="9" s="1"/>
  <c r="S16" i="9"/>
  <c r="S17" i="9" s="1"/>
  <c r="S27" i="9" s="1"/>
  <c r="R16" i="9"/>
  <c r="R17" i="9" s="1"/>
  <c r="R27" i="9" s="1"/>
  <c r="Q16" i="9"/>
  <c r="Q17" i="9" s="1"/>
  <c r="Q27" i="9" s="1"/>
  <c r="P16" i="9"/>
  <c r="P17" i="9" s="1"/>
  <c r="O16" i="9"/>
  <c r="O17" i="9" s="1"/>
  <c r="N16" i="9"/>
  <c r="N17" i="9" s="1"/>
  <c r="M16" i="9"/>
  <c r="M17" i="9" s="1"/>
  <c r="M27" i="9" s="1"/>
  <c r="L16" i="9"/>
  <c r="L17" i="9" s="1"/>
  <c r="K16" i="9"/>
  <c r="K17" i="9" s="1"/>
  <c r="J16" i="9"/>
  <c r="J17" i="9" s="1"/>
  <c r="I16" i="9"/>
  <c r="I17" i="9" s="1"/>
  <c r="I27" i="9" s="1"/>
  <c r="H16" i="9"/>
  <c r="H17" i="9" s="1"/>
  <c r="H27" i="9" s="1"/>
  <c r="G16" i="9"/>
  <c r="G17" i="9" s="1"/>
  <c r="G27" i="9" s="1"/>
  <c r="F16" i="9"/>
  <c r="F17" i="9" s="1"/>
  <c r="F27" i="9" s="1"/>
  <c r="E16" i="9"/>
  <c r="E17" i="9" s="1"/>
  <c r="E27" i="9" s="1"/>
  <c r="D16" i="9"/>
  <c r="D17" i="9" s="1"/>
  <c r="C16" i="9"/>
  <c r="C17" i="9" s="1"/>
  <c r="AL15" i="9"/>
  <c r="AK15" i="9"/>
  <c r="AJ15" i="9"/>
  <c r="AL14" i="9"/>
  <c r="AK14" i="9"/>
  <c r="AJ14" i="9"/>
  <c r="AL13" i="9"/>
  <c r="AK13" i="9"/>
  <c r="AJ13" i="9"/>
  <c r="AL12" i="9"/>
  <c r="AK12" i="9"/>
  <c r="AJ12" i="9"/>
  <c r="AL11" i="9"/>
  <c r="AK11" i="9"/>
  <c r="AJ11" i="9"/>
  <c r="AL10" i="9"/>
  <c r="AK10" i="9"/>
  <c r="AJ10" i="9"/>
  <c r="AL9" i="9"/>
  <c r="AK9" i="9"/>
  <c r="AJ9" i="9"/>
  <c r="AL8" i="9"/>
  <c r="AK8" i="9"/>
  <c r="AJ8" i="9"/>
  <c r="AL7" i="9"/>
  <c r="AK7" i="9"/>
  <c r="AJ7" i="9"/>
  <c r="AL6" i="9"/>
  <c r="AK6" i="9"/>
  <c r="AJ6" i="9"/>
  <c r="AI29" i="8"/>
  <c r="AL29" i="8" s="1"/>
  <c r="AH29" i="8"/>
  <c r="AG29" i="8"/>
  <c r="AF29" i="8"/>
  <c r="AE29" i="8"/>
  <c r="AD29" i="8"/>
  <c r="AC29" i="8"/>
  <c r="AB29" i="8"/>
  <c r="AA29" i="8"/>
  <c r="Z29" i="8"/>
  <c r="AK29" i="8" s="1"/>
  <c r="Y29" i="8"/>
  <c r="X29" i="8"/>
  <c r="W29" i="8"/>
  <c r="V29" i="8"/>
  <c r="U29" i="8"/>
  <c r="T29" i="8"/>
  <c r="S29" i="8"/>
  <c r="R29" i="8"/>
  <c r="Q29" i="8"/>
  <c r="P29" i="8"/>
  <c r="O29" i="8"/>
  <c r="N29" i="8"/>
  <c r="AJ29" i="8" s="1"/>
  <c r="M29" i="8"/>
  <c r="L29" i="8"/>
  <c r="K29" i="8"/>
  <c r="J29" i="8"/>
  <c r="I29" i="8"/>
  <c r="H29" i="8"/>
  <c r="G29" i="8"/>
  <c r="F29" i="8"/>
  <c r="E29" i="8"/>
  <c r="D29" i="8"/>
  <c r="C29" i="8"/>
  <c r="AL28" i="8"/>
  <c r="AK28" i="8"/>
  <c r="AJ28" i="8"/>
  <c r="AL27" i="8"/>
  <c r="AK27" i="8"/>
  <c r="AJ27" i="8"/>
  <c r="AL26" i="8"/>
  <c r="AK26" i="8"/>
  <c r="AJ26" i="8"/>
  <c r="X25" i="8"/>
  <c r="X30" i="8" s="1"/>
  <c r="R25" i="8"/>
  <c r="R30" i="8" s="1"/>
  <c r="P25" i="8"/>
  <c r="N25" i="8"/>
  <c r="N30" i="8" s="1"/>
  <c r="AJ30" i="8" s="1"/>
  <c r="M25" i="8"/>
  <c r="M30" i="8" s="1"/>
  <c r="L25" i="8"/>
  <c r="L30" i="8" s="1"/>
  <c r="AL24" i="8"/>
  <c r="AK24" i="8"/>
  <c r="AJ24" i="8"/>
  <c r="AI23" i="8"/>
  <c r="AI25" i="8" s="1"/>
  <c r="AH23" i="8"/>
  <c r="AH25" i="8" s="1"/>
  <c r="AG23" i="8"/>
  <c r="AG25" i="8" s="1"/>
  <c r="AF23" i="8"/>
  <c r="AF25" i="8" s="1"/>
  <c r="AF30" i="8" s="1"/>
  <c r="AE23" i="8"/>
  <c r="AE25" i="8" s="1"/>
  <c r="AE30" i="8" s="1"/>
  <c r="AD23" i="8"/>
  <c r="AD25" i="8" s="1"/>
  <c r="AD30" i="8" s="1"/>
  <c r="AC23" i="8"/>
  <c r="AC25" i="8" s="1"/>
  <c r="AB23" i="8"/>
  <c r="AB25" i="8" s="1"/>
  <c r="AB30" i="8" s="1"/>
  <c r="AA23" i="8"/>
  <c r="AA25" i="8" s="1"/>
  <c r="AA30" i="8" s="1"/>
  <c r="Z23" i="8"/>
  <c r="AK23" i="8" s="1"/>
  <c r="Y23" i="8"/>
  <c r="Y25" i="8" s="1"/>
  <c r="Y30" i="8" s="1"/>
  <c r="X23" i="8"/>
  <c r="W23" i="8"/>
  <c r="W25" i="8" s="1"/>
  <c r="W30" i="8" s="1"/>
  <c r="V23" i="8"/>
  <c r="V25" i="8" s="1"/>
  <c r="U23" i="8"/>
  <c r="U25" i="8" s="1"/>
  <c r="T23" i="8"/>
  <c r="T25" i="8" s="1"/>
  <c r="T30" i="8" s="1"/>
  <c r="S23" i="8"/>
  <c r="S25" i="8" s="1"/>
  <c r="S30" i="8" s="1"/>
  <c r="R23" i="8"/>
  <c r="Q23" i="8"/>
  <c r="Q25" i="8" s="1"/>
  <c r="P23" i="8"/>
  <c r="O23" i="8"/>
  <c r="O25" i="8" s="1"/>
  <c r="O30" i="8" s="1"/>
  <c r="N23" i="8"/>
  <c r="AJ23" i="8" s="1"/>
  <c r="M23" i="8"/>
  <c r="L23" i="8"/>
  <c r="K23" i="8"/>
  <c r="K25" i="8" s="1"/>
  <c r="K30" i="8" s="1"/>
  <c r="J23" i="8"/>
  <c r="J25" i="8" s="1"/>
  <c r="I23" i="8"/>
  <c r="I25" i="8" s="1"/>
  <c r="H23" i="8"/>
  <c r="H25" i="8" s="1"/>
  <c r="H30" i="8" s="1"/>
  <c r="G23" i="8"/>
  <c r="G25" i="8" s="1"/>
  <c r="G30" i="8" s="1"/>
  <c r="F23" i="8"/>
  <c r="F25" i="8" s="1"/>
  <c r="F30" i="8" s="1"/>
  <c r="E23" i="8"/>
  <c r="E25" i="8" s="1"/>
  <c r="D23" i="8"/>
  <c r="D25" i="8" s="1"/>
  <c r="D30" i="8" s="1"/>
  <c r="C23" i="8"/>
  <c r="C25" i="8" s="1"/>
  <c r="C30" i="8" s="1"/>
  <c r="AL22" i="8"/>
  <c r="AK22" i="8"/>
  <c r="AJ22" i="8"/>
  <c r="AL21" i="8"/>
  <c r="AK21" i="8"/>
  <c r="AJ21" i="8"/>
  <c r="AL20" i="8"/>
  <c r="AK20" i="8"/>
  <c r="AJ20" i="8"/>
  <c r="AL19" i="8"/>
  <c r="AK19" i="8"/>
  <c r="AJ19" i="8"/>
  <c r="AL18" i="8"/>
  <c r="AK18" i="8"/>
  <c r="AJ18" i="8"/>
  <c r="AL17" i="8"/>
  <c r="AK17" i="8"/>
  <c r="AJ17" i="8"/>
  <c r="AI15" i="8"/>
  <c r="AL15" i="8" s="1"/>
  <c r="AH15" i="8"/>
  <c r="AG15" i="8"/>
  <c r="AF15" i="8"/>
  <c r="AE15" i="8"/>
  <c r="AD15" i="8"/>
  <c r="AC15" i="8"/>
  <c r="AB15" i="8"/>
  <c r="AA15" i="8"/>
  <c r="Z15" i="8"/>
  <c r="Z16" i="8" s="1"/>
  <c r="Y15" i="8"/>
  <c r="X15" i="8"/>
  <c r="X16" i="8" s="1"/>
  <c r="W15" i="8"/>
  <c r="W16" i="8" s="1"/>
  <c r="V15" i="8"/>
  <c r="U15" i="8"/>
  <c r="T15" i="8"/>
  <c r="S15" i="8"/>
  <c r="R15" i="8"/>
  <c r="Q15" i="8"/>
  <c r="P15" i="8"/>
  <c r="O15" i="8"/>
  <c r="N15" i="8"/>
  <c r="N16" i="8" s="1"/>
  <c r="M15" i="8"/>
  <c r="L15" i="8"/>
  <c r="K15" i="8"/>
  <c r="K16" i="8" s="1"/>
  <c r="J15" i="8"/>
  <c r="I15" i="8"/>
  <c r="H15" i="8"/>
  <c r="G15" i="8"/>
  <c r="F15" i="8"/>
  <c r="E15" i="8"/>
  <c r="D15" i="8"/>
  <c r="C15" i="8"/>
  <c r="AL14" i="8"/>
  <c r="AK14" i="8"/>
  <c r="AJ14" i="8"/>
  <c r="AL13" i="8"/>
  <c r="AK13" i="8"/>
  <c r="AJ13" i="8"/>
  <c r="AL12" i="8"/>
  <c r="AI12" i="8"/>
  <c r="AH12" i="8"/>
  <c r="AG12" i="8"/>
  <c r="AF12" i="8"/>
  <c r="AF16" i="8" s="1"/>
  <c r="AF31" i="8" s="1"/>
  <c r="AE12" i="8"/>
  <c r="AE16" i="8" s="1"/>
  <c r="AD12" i="8"/>
  <c r="AD16" i="8" s="1"/>
  <c r="AC12" i="8"/>
  <c r="AB12" i="8"/>
  <c r="AB16" i="8" s="1"/>
  <c r="AA12" i="8"/>
  <c r="AA16" i="8" s="1"/>
  <c r="AA31" i="8" s="1"/>
  <c r="Z12" i="8"/>
  <c r="AK12" i="8" s="1"/>
  <c r="Y12" i="8"/>
  <c r="X12" i="8"/>
  <c r="W12" i="8"/>
  <c r="V12" i="8"/>
  <c r="U12" i="8"/>
  <c r="T12" i="8"/>
  <c r="T16" i="8" s="1"/>
  <c r="T31" i="8" s="1"/>
  <c r="S12" i="8"/>
  <c r="S16" i="8" s="1"/>
  <c r="R12" i="8"/>
  <c r="R16" i="8" s="1"/>
  <c r="R31" i="8" s="1"/>
  <c r="Q12" i="8"/>
  <c r="P12" i="8"/>
  <c r="P16" i="8" s="1"/>
  <c r="O12" i="8"/>
  <c r="O16" i="8" s="1"/>
  <c r="O31" i="8" s="1"/>
  <c r="N12" i="8"/>
  <c r="AJ12" i="8" s="1"/>
  <c r="M12" i="8"/>
  <c r="L12" i="8"/>
  <c r="K12" i="8"/>
  <c r="J12" i="8"/>
  <c r="I12" i="8"/>
  <c r="H12" i="8"/>
  <c r="H16" i="8" s="1"/>
  <c r="H31" i="8" s="1"/>
  <c r="G12" i="8"/>
  <c r="G16" i="8" s="1"/>
  <c r="F12" i="8"/>
  <c r="F16" i="8" s="1"/>
  <c r="E12" i="8"/>
  <c r="D12" i="8"/>
  <c r="D16" i="8" s="1"/>
  <c r="C12" i="8"/>
  <c r="C16" i="8" s="1"/>
  <c r="C31" i="8" s="1"/>
  <c r="AL11" i="8"/>
  <c r="AK11" i="8"/>
  <c r="AJ11" i="8"/>
  <c r="AL10" i="8"/>
  <c r="AK10" i="8"/>
  <c r="AJ10" i="8"/>
  <c r="AL9" i="8"/>
  <c r="AK9" i="8"/>
  <c r="AJ9" i="8"/>
  <c r="AL8" i="8"/>
  <c r="AK8" i="8"/>
  <c r="AJ8" i="8"/>
  <c r="AL7" i="8"/>
  <c r="AK7" i="8"/>
  <c r="AJ7" i="8"/>
  <c r="AL6" i="8"/>
  <c r="AK6" i="8"/>
  <c r="AJ6" i="8"/>
  <c r="AL35" i="7"/>
  <c r="AK35" i="7"/>
  <c r="AJ35" i="7"/>
  <c r="AL33" i="7"/>
  <c r="AK33" i="7"/>
  <c r="AJ33" i="7"/>
  <c r="AL31" i="7"/>
  <c r="AK31" i="7"/>
  <c r="AJ31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AJ29" i="7" s="1"/>
  <c r="E29" i="7"/>
  <c r="D29" i="7"/>
  <c r="C29" i="7"/>
  <c r="AL28" i="7"/>
  <c r="AK28" i="7"/>
  <c r="AJ28" i="7"/>
  <c r="AL27" i="7"/>
  <c r="AK27" i="7"/>
  <c r="AJ27" i="7"/>
  <c r="AL26" i="7"/>
  <c r="AK26" i="7"/>
  <c r="AJ26" i="7"/>
  <c r="AL25" i="7"/>
  <c r="AK25" i="7"/>
  <c r="AJ25" i="7"/>
  <c r="AL24" i="7"/>
  <c r="AK24" i="7"/>
  <c r="AJ24" i="7"/>
  <c r="AL23" i="7"/>
  <c r="AK23" i="7"/>
  <c r="AJ23" i="7"/>
  <c r="AL22" i="7"/>
  <c r="AK22" i="7"/>
  <c r="AJ22" i="7"/>
  <c r="AL21" i="7"/>
  <c r="AK21" i="7"/>
  <c r="AJ21" i="7"/>
  <c r="AI19" i="7"/>
  <c r="AH19" i="7"/>
  <c r="AG19" i="7"/>
  <c r="AF19" i="7"/>
  <c r="AE19" i="7"/>
  <c r="AD19" i="7"/>
  <c r="AC19" i="7"/>
  <c r="AB19" i="7"/>
  <c r="AA19" i="7"/>
  <c r="AL19" i="7" s="1"/>
  <c r="Z19" i="7"/>
  <c r="Y19" i="7"/>
  <c r="X19" i="7"/>
  <c r="W19" i="7"/>
  <c r="V19" i="7"/>
  <c r="U19" i="7"/>
  <c r="T19" i="7"/>
  <c r="S19" i="7"/>
  <c r="R19" i="7"/>
  <c r="Q19" i="7"/>
  <c r="P19" i="7"/>
  <c r="O19" i="7"/>
  <c r="AK19" i="7" s="1"/>
  <c r="N19" i="7"/>
  <c r="M19" i="7"/>
  <c r="L19" i="7"/>
  <c r="K19" i="7"/>
  <c r="J19" i="7"/>
  <c r="I19" i="7"/>
  <c r="H19" i="7"/>
  <c r="G19" i="7"/>
  <c r="F19" i="7"/>
  <c r="E19" i="7"/>
  <c r="D19" i="7"/>
  <c r="C19" i="7"/>
  <c r="AL18" i="7"/>
  <c r="AK18" i="7"/>
  <c r="AJ18" i="7"/>
  <c r="AL17" i="7"/>
  <c r="AK17" i="7"/>
  <c r="AJ17" i="7"/>
  <c r="AL16" i="7"/>
  <c r="AK16" i="7"/>
  <c r="AJ16" i="7"/>
  <c r="AL15" i="7"/>
  <c r="AK15" i="7"/>
  <c r="AJ15" i="7"/>
  <c r="AL14" i="7"/>
  <c r="AK14" i="7"/>
  <c r="AJ14" i="7"/>
  <c r="AI12" i="7"/>
  <c r="AI13" i="7" s="1"/>
  <c r="AI20" i="7" s="1"/>
  <c r="AI30" i="7" s="1"/>
  <c r="AI32" i="7" s="1"/>
  <c r="AI34" i="7" s="1"/>
  <c r="AI36" i="7" s="1"/>
  <c r="AH12" i="7"/>
  <c r="AG12" i="7"/>
  <c r="AF12" i="7"/>
  <c r="AE12" i="7"/>
  <c r="AD12" i="7"/>
  <c r="AC12" i="7"/>
  <c r="AB12" i="7"/>
  <c r="AA12" i="7"/>
  <c r="Z12" i="7"/>
  <c r="Y12" i="7"/>
  <c r="Y13" i="7" s="1"/>
  <c r="Y20" i="7" s="1"/>
  <c r="Y30" i="7" s="1"/>
  <c r="Y32" i="7" s="1"/>
  <c r="Y34" i="7" s="1"/>
  <c r="Y36" i="7" s="1"/>
  <c r="X12" i="7"/>
  <c r="W12" i="7"/>
  <c r="V12" i="7"/>
  <c r="U12" i="7"/>
  <c r="T12" i="7"/>
  <c r="S12" i="7"/>
  <c r="R12" i="7"/>
  <c r="Q12" i="7"/>
  <c r="P12" i="7"/>
  <c r="O12" i="7"/>
  <c r="N12" i="7"/>
  <c r="M12" i="7"/>
  <c r="M13" i="7" s="1"/>
  <c r="M20" i="7" s="1"/>
  <c r="M30" i="7" s="1"/>
  <c r="M32" i="7" s="1"/>
  <c r="M34" i="7" s="1"/>
  <c r="M36" i="7" s="1"/>
  <c r="L12" i="7"/>
  <c r="K12" i="7"/>
  <c r="K13" i="7" s="1"/>
  <c r="K20" i="7" s="1"/>
  <c r="K30" i="7" s="1"/>
  <c r="K32" i="7" s="1"/>
  <c r="K34" i="7" s="1"/>
  <c r="K36" i="7" s="1"/>
  <c r="J12" i="7"/>
  <c r="I12" i="7"/>
  <c r="H12" i="7"/>
  <c r="G12" i="7"/>
  <c r="F12" i="7"/>
  <c r="E12" i="7"/>
  <c r="D12" i="7"/>
  <c r="C12" i="7"/>
  <c r="AJ12" i="7" s="1"/>
  <c r="AL11" i="7"/>
  <c r="AK11" i="7"/>
  <c r="AJ11" i="7"/>
  <c r="AL10" i="7"/>
  <c r="AK10" i="7"/>
  <c r="AJ10" i="7"/>
  <c r="AI9" i="7"/>
  <c r="AH9" i="7"/>
  <c r="AG9" i="7"/>
  <c r="AF9" i="7"/>
  <c r="AF13" i="7" s="1"/>
  <c r="AF20" i="7" s="1"/>
  <c r="AF30" i="7" s="1"/>
  <c r="AF32" i="7" s="1"/>
  <c r="AF34" i="7" s="1"/>
  <c r="AF36" i="7" s="1"/>
  <c r="AE9" i="7"/>
  <c r="AD9" i="7"/>
  <c r="AD13" i="7" s="1"/>
  <c r="AD20" i="7" s="1"/>
  <c r="AD30" i="7" s="1"/>
  <c r="AD32" i="7" s="1"/>
  <c r="AD34" i="7" s="1"/>
  <c r="AD36" i="7" s="1"/>
  <c r="AC9" i="7"/>
  <c r="AB9" i="7"/>
  <c r="AB13" i="7" s="1"/>
  <c r="AB20" i="7" s="1"/>
  <c r="AB30" i="7" s="1"/>
  <c r="AB32" i="7" s="1"/>
  <c r="AB34" i="7" s="1"/>
  <c r="AB36" i="7" s="1"/>
  <c r="AA9" i="7"/>
  <c r="Z9" i="7"/>
  <c r="Y9" i="7"/>
  <c r="X9" i="7"/>
  <c r="W9" i="7"/>
  <c r="V9" i="7"/>
  <c r="V13" i="7" s="1"/>
  <c r="V20" i="7" s="1"/>
  <c r="V30" i="7" s="1"/>
  <c r="V32" i="7" s="1"/>
  <c r="V34" i="7" s="1"/>
  <c r="V36" i="7" s="1"/>
  <c r="U9" i="7"/>
  <c r="T9" i="7"/>
  <c r="T13" i="7" s="1"/>
  <c r="T20" i="7" s="1"/>
  <c r="T30" i="7" s="1"/>
  <c r="T32" i="7" s="1"/>
  <c r="T34" i="7" s="1"/>
  <c r="T36" i="7" s="1"/>
  <c r="S9" i="7"/>
  <c r="R9" i="7"/>
  <c r="R13" i="7" s="1"/>
  <c r="R20" i="7" s="1"/>
  <c r="R30" i="7" s="1"/>
  <c r="R32" i="7" s="1"/>
  <c r="R34" i="7" s="1"/>
  <c r="R36" i="7" s="1"/>
  <c r="Q9" i="7"/>
  <c r="P9" i="7"/>
  <c r="P13" i="7" s="1"/>
  <c r="P20" i="7" s="1"/>
  <c r="P30" i="7" s="1"/>
  <c r="P32" i="7" s="1"/>
  <c r="P34" i="7" s="1"/>
  <c r="P36" i="7" s="1"/>
  <c r="O9" i="7"/>
  <c r="N9" i="7"/>
  <c r="M9" i="7"/>
  <c r="L9" i="7"/>
  <c r="K9" i="7"/>
  <c r="J9" i="7"/>
  <c r="J13" i="7" s="1"/>
  <c r="J20" i="7" s="1"/>
  <c r="J30" i="7" s="1"/>
  <c r="J32" i="7" s="1"/>
  <c r="J34" i="7" s="1"/>
  <c r="J36" i="7" s="1"/>
  <c r="I9" i="7"/>
  <c r="H9" i="7"/>
  <c r="H13" i="7" s="1"/>
  <c r="H20" i="7" s="1"/>
  <c r="H30" i="7" s="1"/>
  <c r="H32" i="7" s="1"/>
  <c r="H34" i="7" s="1"/>
  <c r="H36" i="7" s="1"/>
  <c r="G9" i="7"/>
  <c r="F9" i="7"/>
  <c r="F13" i="7" s="1"/>
  <c r="F20" i="7" s="1"/>
  <c r="F30" i="7" s="1"/>
  <c r="F32" i="7" s="1"/>
  <c r="F34" i="7" s="1"/>
  <c r="F36" i="7" s="1"/>
  <c r="E9" i="7"/>
  <c r="D9" i="7"/>
  <c r="D13" i="7" s="1"/>
  <c r="D20" i="7" s="1"/>
  <c r="D30" i="7" s="1"/>
  <c r="D32" i="7" s="1"/>
  <c r="D34" i="7" s="1"/>
  <c r="D36" i="7" s="1"/>
  <c r="C9" i="7"/>
  <c r="AL8" i="7"/>
  <c r="AK8" i="7"/>
  <c r="AJ8" i="7"/>
  <c r="AL7" i="7"/>
  <c r="AK7" i="7"/>
  <c r="AJ7" i="7"/>
  <c r="AL6" i="7"/>
  <c r="AK6" i="7"/>
  <c r="AJ6" i="7"/>
  <c r="B6" i="6"/>
  <c r="C6" i="6" s="1"/>
  <c r="D121" i="4"/>
  <c r="E121" i="4" s="1"/>
  <c r="F121" i="4" s="1"/>
  <c r="G121" i="4" s="1"/>
  <c r="H121" i="4" s="1"/>
  <c r="O120" i="4"/>
  <c r="N120" i="4"/>
  <c r="M120" i="4"/>
  <c r="L120" i="4"/>
  <c r="K120" i="4"/>
  <c r="J120" i="4"/>
  <c r="I120" i="4"/>
  <c r="G120" i="4"/>
  <c r="F120" i="4"/>
  <c r="E120" i="4"/>
  <c r="D120" i="4"/>
  <c r="K119" i="4"/>
  <c r="L119" i="4" s="1"/>
  <c r="M119" i="4" s="1"/>
  <c r="N119" i="4" s="1"/>
  <c r="O119" i="4" s="1"/>
  <c r="H119" i="4"/>
  <c r="I119" i="4" s="1"/>
  <c r="J119" i="4" s="1"/>
  <c r="D119" i="4"/>
  <c r="E119" i="4" s="1"/>
  <c r="F119" i="4" s="1"/>
  <c r="C118" i="4"/>
  <c r="E117" i="4"/>
  <c r="F117" i="4" s="1"/>
  <c r="D117" i="4"/>
  <c r="C113" i="4"/>
  <c r="C109" i="4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C108" i="4"/>
  <c r="C107" i="4"/>
  <c r="C106" i="4"/>
  <c r="O105" i="4"/>
  <c r="N105" i="4"/>
  <c r="L105" i="4"/>
  <c r="K105" i="4"/>
  <c r="I105" i="4"/>
  <c r="H105" i="4"/>
  <c r="F105" i="4"/>
  <c r="E105" i="4"/>
  <c r="D105" i="4"/>
  <c r="C104" i="4"/>
  <c r="C103" i="4"/>
  <c r="C102" i="4"/>
  <c r="D102" i="4" s="1"/>
  <c r="E102" i="4" s="1"/>
  <c r="F102" i="4" s="1"/>
  <c r="G102" i="4" s="1"/>
  <c r="H102" i="4" s="1"/>
  <c r="D76" i="4"/>
  <c r="O75" i="4"/>
  <c r="N75" i="4"/>
  <c r="M75" i="4"/>
  <c r="L75" i="4"/>
  <c r="K75" i="4"/>
  <c r="J75" i="4"/>
  <c r="I75" i="4"/>
  <c r="H75" i="4"/>
  <c r="G75" i="4"/>
  <c r="F75" i="4"/>
  <c r="E75" i="4"/>
  <c r="D75" i="4"/>
  <c r="C64" i="4"/>
  <c r="F63" i="4"/>
  <c r="C63" i="4"/>
  <c r="C62" i="4"/>
  <c r="C61" i="4"/>
  <c r="C59" i="4"/>
  <c r="C58" i="4"/>
  <c r="C57" i="4"/>
  <c r="C56" i="4"/>
  <c r="C55" i="4"/>
  <c r="C54" i="4"/>
  <c r="C53" i="4"/>
  <c r="C52" i="4"/>
  <c r="C49" i="4"/>
  <c r="C48" i="4"/>
  <c r="D48" i="4" s="1"/>
  <c r="C47" i="4"/>
  <c r="C46" i="4"/>
  <c r="C45" i="4"/>
  <c r="C44" i="4"/>
  <c r="C43" i="4"/>
  <c r="C42" i="4"/>
  <c r="C41" i="4"/>
  <c r="D33" i="4"/>
  <c r="D69" i="4" s="1"/>
  <c r="O27" i="4"/>
  <c r="N27" i="4"/>
  <c r="M27" i="4"/>
  <c r="L27" i="4"/>
  <c r="K27" i="4"/>
  <c r="J27" i="4"/>
  <c r="I27" i="4"/>
  <c r="H27" i="4"/>
  <c r="G27" i="4"/>
  <c r="F27" i="4"/>
  <c r="E27" i="4"/>
  <c r="D27" i="4"/>
  <c r="O26" i="4"/>
  <c r="N26" i="4"/>
  <c r="M26" i="4"/>
  <c r="L26" i="4"/>
  <c r="K26" i="4"/>
  <c r="J26" i="4"/>
  <c r="I26" i="4"/>
  <c r="H26" i="4"/>
  <c r="G26" i="4"/>
  <c r="F26" i="4"/>
  <c r="E26" i="4"/>
  <c r="D26" i="4"/>
  <c r="O25" i="4"/>
  <c r="N25" i="4"/>
  <c r="M25" i="4"/>
  <c r="L25" i="4"/>
  <c r="K25" i="4"/>
  <c r="J25" i="4"/>
  <c r="I25" i="4"/>
  <c r="H25" i="4"/>
  <c r="G25" i="4"/>
  <c r="F25" i="4"/>
  <c r="E25" i="4"/>
  <c r="D25" i="4"/>
  <c r="O24" i="4"/>
  <c r="N24" i="4"/>
  <c r="M24" i="4"/>
  <c r="L24" i="4"/>
  <c r="K24" i="4"/>
  <c r="J24" i="4"/>
  <c r="I24" i="4"/>
  <c r="H24" i="4"/>
  <c r="G24" i="4"/>
  <c r="F24" i="4"/>
  <c r="E24" i="4"/>
  <c r="D24" i="4"/>
  <c r="L10" i="4"/>
  <c r="L19" i="4" s="1"/>
  <c r="J10" i="4"/>
  <c r="J20" i="4" s="1"/>
  <c r="E10" i="4"/>
  <c r="E19" i="4" s="1"/>
  <c r="H17" i="2"/>
  <c r="H16" i="2"/>
  <c r="D35" i="4" s="1"/>
  <c r="H15" i="2"/>
  <c r="H14" i="2"/>
  <c r="F10" i="4" s="1"/>
  <c r="H13" i="2"/>
  <c r="H12" i="2"/>
  <c r="H11" i="2"/>
  <c r="E91" i="4" s="1"/>
  <c r="H10" i="2"/>
  <c r="H9" i="2"/>
  <c r="H8" i="2"/>
  <c r="F89" i="4" s="1"/>
  <c r="AI30" i="8" l="1"/>
  <c r="C60" i="4"/>
  <c r="AL25" i="8"/>
  <c r="P75" i="4"/>
  <c r="AJ9" i="7"/>
  <c r="AK9" i="7"/>
  <c r="AL9" i="7"/>
  <c r="AK29" i="7"/>
  <c r="AL29" i="7"/>
  <c r="K31" i="8"/>
  <c r="W31" i="8"/>
  <c r="N27" i="9"/>
  <c r="Z27" i="9"/>
  <c r="AK12" i="7"/>
  <c r="D31" i="8"/>
  <c r="AB31" i="8"/>
  <c r="I30" i="8"/>
  <c r="U30" i="8"/>
  <c r="U31" i="8" s="1"/>
  <c r="AG30" i="8"/>
  <c r="G10" i="4"/>
  <c r="G19" i="4" s="1"/>
  <c r="E13" i="7"/>
  <c r="E20" i="7" s="1"/>
  <c r="E30" i="7" s="1"/>
  <c r="E32" i="7" s="1"/>
  <c r="E34" i="7" s="1"/>
  <c r="E36" i="7" s="1"/>
  <c r="Q13" i="7"/>
  <c r="Q20" i="7" s="1"/>
  <c r="Q30" i="7" s="1"/>
  <c r="Q32" i="7" s="1"/>
  <c r="Q34" i="7" s="1"/>
  <c r="Q36" i="7" s="1"/>
  <c r="AC13" i="7"/>
  <c r="AC20" i="7" s="1"/>
  <c r="AC30" i="7" s="1"/>
  <c r="AC32" i="7" s="1"/>
  <c r="AC34" i="7" s="1"/>
  <c r="AC36" i="7" s="1"/>
  <c r="N13" i="7"/>
  <c r="N20" i="7" s="1"/>
  <c r="N30" i="7" s="1"/>
  <c r="N32" i="7" s="1"/>
  <c r="N34" i="7" s="1"/>
  <c r="N36" i="7" s="1"/>
  <c r="Z13" i="7"/>
  <c r="Z20" i="7" s="1"/>
  <c r="Z30" i="7" s="1"/>
  <c r="Z32" i="7" s="1"/>
  <c r="Z34" i="7" s="1"/>
  <c r="Z36" i="7" s="1"/>
  <c r="E16" i="8"/>
  <c r="E31" i="8" s="1"/>
  <c r="Q16" i="8"/>
  <c r="Q31" i="8" s="1"/>
  <c r="AC16" i="8"/>
  <c r="AC31" i="8" s="1"/>
  <c r="M16" i="8"/>
  <c r="Y16" i="8"/>
  <c r="J30" i="8"/>
  <c r="V30" i="8"/>
  <c r="AH30" i="8"/>
  <c r="P30" i="8"/>
  <c r="P31" i="8" s="1"/>
  <c r="D27" i="9"/>
  <c r="P27" i="9"/>
  <c r="AB27" i="9"/>
  <c r="AD31" i="8"/>
  <c r="K10" i="4"/>
  <c r="G13" i="7"/>
  <c r="G20" i="7" s="1"/>
  <c r="G30" i="7" s="1"/>
  <c r="G32" i="7" s="1"/>
  <c r="G34" i="7" s="1"/>
  <c r="G36" i="7" s="1"/>
  <c r="S13" i="7"/>
  <c r="S20" i="7" s="1"/>
  <c r="S30" i="7" s="1"/>
  <c r="S32" i="7" s="1"/>
  <c r="S34" i="7" s="1"/>
  <c r="S36" i="7" s="1"/>
  <c r="AE13" i="7"/>
  <c r="AE20" i="7" s="1"/>
  <c r="AE30" i="7" s="1"/>
  <c r="AE32" i="7" s="1"/>
  <c r="AE34" i="7" s="1"/>
  <c r="AE36" i="7" s="1"/>
  <c r="G31" i="8"/>
  <c r="S31" i="8"/>
  <c r="AE31" i="8"/>
  <c r="AL23" i="8"/>
  <c r="AJ20" i="9"/>
  <c r="AK20" i="9"/>
  <c r="AJ26" i="9"/>
  <c r="AK26" i="9"/>
  <c r="P24" i="4"/>
  <c r="P25" i="4"/>
  <c r="AJ19" i="7"/>
  <c r="AL20" i="9"/>
  <c r="E33" i="4"/>
  <c r="E69" i="4" s="1"/>
  <c r="J16" i="8"/>
  <c r="J31" i="8" s="1"/>
  <c r="V16" i="8"/>
  <c r="AH16" i="8"/>
  <c r="AH31" i="8" s="1"/>
  <c r="Z25" i="8"/>
  <c r="Z30" i="8" s="1"/>
  <c r="AK30" i="8" s="1"/>
  <c r="F33" i="4"/>
  <c r="F69" i="4" s="1"/>
  <c r="C50" i="4"/>
  <c r="J27" i="9"/>
  <c r="V27" i="9"/>
  <c r="AH27" i="9"/>
  <c r="G33" i="4"/>
  <c r="G69" i="4" s="1"/>
  <c r="L13" i="7"/>
  <c r="L20" i="7" s="1"/>
  <c r="L30" i="7" s="1"/>
  <c r="L32" i="7" s="1"/>
  <c r="L34" i="7" s="1"/>
  <c r="L36" i="7" s="1"/>
  <c r="X13" i="7"/>
  <c r="X20" i="7" s="1"/>
  <c r="X30" i="7" s="1"/>
  <c r="X32" i="7" s="1"/>
  <c r="X34" i="7" s="1"/>
  <c r="X36" i="7" s="1"/>
  <c r="I13" i="7"/>
  <c r="I20" i="7" s="1"/>
  <c r="I30" i="7" s="1"/>
  <c r="I32" i="7" s="1"/>
  <c r="I34" i="7" s="1"/>
  <c r="I36" i="7" s="1"/>
  <c r="U13" i="7"/>
  <c r="U20" i="7" s="1"/>
  <c r="U30" i="7" s="1"/>
  <c r="U32" i="7" s="1"/>
  <c r="U34" i="7" s="1"/>
  <c r="U36" i="7" s="1"/>
  <c r="AL12" i="7"/>
  <c r="L16" i="8"/>
  <c r="L31" i="8" s="1"/>
  <c r="E30" i="8"/>
  <c r="Q30" i="8"/>
  <c r="AC30" i="8"/>
  <c r="K27" i="9"/>
  <c r="W27" i="9"/>
  <c r="AL16" i="9"/>
  <c r="F31" i="8"/>
  <c r="AH13" i="7"/>
  <c r="AH20" i="7" s="1"/>
  <c r="AH30" i="7" s="1"/>
  <c r="AH32" i="7" s="1"/>
  <c r="AH34" i="7" s="1"/>
  <c r="AH36" i="7" s="1"/>
  <c r="I16" i="8"/>
  <c r="I31" i="8" s="1"/>
  <c r="U16" i="8"/>
  <c r="AG16" i="8"/>
  <c r="AG31" i="8" s="1"/>
  <c r="L27" i="9"/>
  <c r="X27" i="9"/>
  <c r="E48" i="4"/>
  <c r="F19" i="4"/>
  <c r="F20" i="4"/>
  <c r="J93" i="4"/>
  <c r="J9" i="4" s="1"/>
  <c r="L89" i="4"/>
  <c r="I93" i="4"/>
  <c r="I9" i="4" s="1"/>
  <c r="K89" i="4"/>
  <c r="F93" i="4"/>
  <c r="F9" i="4" s="1"/>
  <c r="H89" i="4"/>
  <c r="D93" i="4"/>
  <c r="D17" i="4" s="1"/>
  <c r="M93" i="4"/>
  <c r="M9" i="4" s="1"/>
  <c r="O89" i="4"/>
  <c r="K93" i="4"/>
  <c r="K9" i="4" s="1"/>
  <c r="D89" i="4"/>
  <c r="H93" i="4"/>
  <c r="H9" i="4" s="1"/>
  <c r="G93" i="4"/>
  <c r="G9" i="4" s="1"/>
  <c r="E93" i="4"/>
  <c r="E9" i="4" s="1"/>
  <c r="N89" i="4"/>
  <c r="J89" i="4"/>
  <c r="I89" i="4"/>
  <c r="O93" i="4"/>
  <c r="O9" i="4" s="1"/>
  <c r="G89" i="4"/>
  <c r="N93" i="4"/>
  <c r="N9" i="4" s="1"/>
  <c r="L93" i="4"/>
  <c r="L9" i="4" s="1"/>
  <c r="E89" i="4"/>
  <c r="J19" i="4"/>
  <c r="J44" i="4" s="1"/>
  <c r="M89" i="4"/>
  <c r="I121" i="4"/>
  <c r="I33" i="4"/>
  <c r="I69" i="4" s="1"/>
  <c r="K90" i="4"/>
  <c r="J90" i="4"/>
  <c r="G90" i="4"/>
  <c r="N90" i="4"/>
  <c r="H90" i="4"/>
  <c r="F90" i="4"/>
  <c r="E90" i="4"/>
  <c r="D90" i="4"/>
  <c r="O90" i="4"/>
  <c r="M90" i="4"/>
  <c r="I90" i="4"/>
  <c r="G17" i="4"/>
  <c r="L90" i="4"/>
  <c r="K20" i="4"/>
  <c r="K19" i="4"/>
  <c r="K44" i="4" s="1"/>
  <c r="E20" i="4"/>
  <c r="E44" i="4" s="1"/>
  <c r="I10" i="4"/>
  <c r="H10" i="4"/>
  <c r="N10" i="4"/>
  <c r="O10" i="4"/>
  <c r="I102" i="4"/>
  <c r="K91" i="4"/>
  <c r="J91" i="4"/>
  <c r="G91" i="4"/>
  <c r="N91" i="4"/>
  <c r="O91" i="4"/>
  <c r="M91" i="4"/>
  <c r="L91" i="4"/>
  <c r="I91" i="4"/>
  <c r="H91" i="4"/>
  <c r="F91" i="4"/>
  <c r="D91" i="4"/>
  <c r="H33" i="4"/>
  <c r="D49" i="4"/>
  <c r="E49" i="4" s="1"/>
  <c r="F49" i="4" s="1"/>
  <c r="G49" i="4" s="1"/>
  <c r="H49" i="4" s="1"/>
  <c r="I49" i="4" s="1"/>
  <c r="J17" i="4"/>
  <c r="M10" i="4"/>
  <c r="D10" i="4"/>
  <c r="L20" i="4"/>
  <c r="L44" i="4" s="1"/>
  <c r="P26" i="4"/>
  <c r="P27" i="4"/>
  <c r="X31" i="8"/>
  <c r="C27" i="9"/>
  <c r="AJ17" i="9"/>
  <c r="AK17" i="9"/>
  <c r="O27" i="9"/>
  <c r="AK27" i="9" s="1"/>
  <c r="AL17" i="9"/>
  <c r="AA27" i="9"/>
  <c r="AL27" i="9" s="1"/>
  <c r="M31" i="8"/>
  <c r="Y31" i="8"/>
  <c r="N31" i="8"/>
  <c r="AJ31" i="8" s="1"/>
  <c r="AJ16" i="8"/>
  <c r="AK16" i="8"/>
  <c r="B11" i="6"/>
  <c r="C11" i="6" s="1"/>
  <c r="AG13" i="7"/>
  <c r="AG20" i="7" s="1"/>
  <c r="AG30" i="7" s="1"/>
  <c r="AG32" i="7" s="1"/>
  <c r="AG34" i="7" s="1"/>
  <c r="AG36" i="7" s="1"/>
  <c r="AJ25" i="8"/>
  <c r="W13" i="7"/>
  <c r="W20" i="7" s="1"/>
  <c r="W30" i="7" s="1"/>
  <c r="W32" i="7" s="1"/>
  <c r="W34" i="7" s="1"/>
  <c r="W36" i="7" s="1"/>
  <c r="AI16" i="8"/>
  <c r="AI17" i="9"/>
  <c r="AI27" i="9" s="1"/>
  <c r="AJ15" i="8"/>
  <c r="AJ16" i="9"/>
  <c r="D113" i="4"/>
  <c r="AK15" i="8"/>
  <c r="AK16" i="9"/>
  <c r="C13" i="7"/>
  <c r="O13" i="7"/>
  <c r="AA13" i="7"/>
  <c r="AK25" i="8" l="1"/>
  <c r="V31" i="8"/>
  <c r="I17" i="4"/>
  <c r="F44" i="4"/>
  <c r="E17" i="4"/>
  <c r="G20" i="4"/>
  <c r="G44" i="4" s="1"/>
  <c r="Z31" i="8"/>
  <c r="AK31" i="8" s="1"/>
  <c r="F92" i="4"/>
  <c r="AL30" i="8"/>
  <c r="C65" i="4"/>
  <c r="F95" i="4"/>
  <c r="F16" i="4"/>
  <c r="O19" i="4"/>
  <c r="O20" i="4"/>
  <c r="E92" i="4"/>
  <c r="E95" i="4" s="1"/>
  <c r="E8" i="4"/>
  <c r="O20" i="7"/>
  <c r="AK13" i="7"/>
  <c r="C20" i="7"/>
  <c r="AJ13" i="7"/>
  <c r="L17" i="4"/>
  <c r="P89" i="4"/>
  <c r="D92" i="4"/>
  <c r="D16" i="4" s="1"/>
  <c r="D8" i="4"/>
  <c r="N19" i="4"/>
  <c r="N20" i="4"/>
  <c r="H17" i="4"/>
  <c r="G92" i="4"/>
  <c r="G95" i="4" s="1"/>
  <c r="G16" i="4"/>
  <c r="G94" i="4" s="1"/>
  <c r="G8" i="4"/>
  <c r="M20" i="4"/>
  <c r="M19" i="4"/>
  <c r="H19" i="4"/>
  <c r="H44" i="4" s="1"/>
  <c r="H20" i="4"/>
  <c r="O92" i="4"/>
  <c r="O95" i="4" s="1"/>
  <c r="O8" i="4"/>
  <c r="E76" i="4"/>
  <c r="E113" i="4" s="1"/>
  <c r="D57" i="4"/>
  <c r="D59" i="4" s="1"/>
  <c r="I20" i="4"/>
  <c r="I19" i="4"/>
  <c r="I92" i="4"/>
  <c r="I95" i="4" s="1"/>
  <c r="I8" i="4"/>
  <c r="J92" i="4"/>
  <c r="J95" i="4" s="1"/>
  <c r="J8" i="4"/>
  <c r="P93" i="4"/>
  <c r="D9" i="4"/>
  <c r="P9" i="4" s="1"/>
  <c r="F8" i="4"/>
  <c r="P10" i="4"/>
  <c r="D20" i="4"/>
  <c r="D19" i="4"/>
  <c r="H69" i="4"/>
  <c r="N92" i="4"/>
  <c r="N95" i="4" s="1"/>
  <c r="N16" i="4"/>
  <c r="N8" i="4"/>
  <c r="C29" i="9"/>
  <c r="AJ27" i="9"/>
  <c r="M17" i="4"/>
  <c r="J121" i="4"/>
  <c r="J33" i="4"/>
  <c r="J69" i="4" s="1"/>
  <c r="AI31" i="8"/>
  <c r="AL16" i="8"/>
  <c r="C51" i="4"/>
  <c r="D50" i="4"/>
  <c r="H92" i="4"/>
  <c r="H95" i="4" s="1"/>
  <c r="H8" i="4"/>
  <c r="H16" i="4"/>
  <c r="H94" i="4" s="1"/>
  <c r="N17" i="4"/>
  <c r="E50" i="4"/>
  <c r="F48" i="4"/>
  <c r="AA20" i="7"/>
  <c r="AL13" i="7"/>
  <c r="O17" i="4"/>
  <c r="M8" i="4"/>
  <c r="M92" i="4"/>
  <c r="M95" i="4" s="1"/>
  <c r="K92" i="4"/>
  <c r="K95" i="4" s="1"/>
  <c r="K8" i="4"/>
  <c r="J102" i="4"/>
  <c r="K17" i="4"/>
  <c r="F17" i="4"/>
  <c r="L92" i="4"/>
  <c r="L95" i="4" s="1"/>
  <c r="L8" i="4"/>
  <c r="N94" i="4" l="1"/>
  <c r="P17" i="4"/>
  <c r="E16" i="4"/>
  <c r="E94" i="4" s="1"/>
  <c r="L16" i="4"/>
  <c r="L94" i="4" s="1"/>
  <c r="L18" i="4" s="1"/>
  <c r="L21" i="4" s="1"/>
  <c r="J49" i="4"/>
  <c r="D94" i="4"/>
  <c r="H11" i="4"/>
  <c r="H12" i="4"/>
  <c r="H13" i="4"/>
  <c r="O12" i="4"/>
  <c r="O13" i="4"/>
  <c r="O11" i="4"/>
  <c r="O30" i="7"/>
  <c r="AK20" i="7"/>
  <c r="E13" i="4"/>
  <c r="E11" i="4"/>
  <c r="E12" i="4"/>
  <c r="K108" i="4"/>
  <c r="K53" i="4" s="1"/>
  <c r="K23" i="4"/>
  <c r="J11" i="4"/>
  <c r="J12" i="4"/>
  <c r="J13" i="4"/>
  <c r="H23" i="4"/>
  <c r="H108" i="4"/>
  <c r="H53" i="4" s="1"/>
  <c r="J108" i="4"/>
  <c r="J53" i="4" s="1"/>
  <c r="J23" i="4"/>
  <c r="M11" i="4"/>
  <c r="M12" i="4"/>
  <c r="M13" i="4"/>
  <c r="N108" i="4"/>
  <c r="N53" i="4" s="1"/>
  <c r="N23" i="4"/>
  <c r="I16" i="4"/>
  <c r="I94" i="4" s="1"/>
  <c r="G98" i="4" s="1"/>
  <c r="O16" i="4"/>
  <c r="O94" i="4" s="1"/>
  <c r="E18" i="4"/>
  <c r="E21" i="4" s="1"/>
  <c r="K16" i="4"/>
  <c r="K94" i="4" s="1"/>
  <c r="M108" i="4"/>
  <c r="M53" i="4" s="1"/>
  <c r="M23" i="4"/>
  <c r="N18" i="4"/>
  <c r="N21" i="4" s="1"/>
  <c r="O23" i="4"/>
  <c r="O108" i="4"/>
  <c r="O53" i="4" s="1"/>
  <c r="N44" i="4"/>
  <c r="L11" i="4"/>
  <c r="L12" i="4"/>
  <c r="L13" i="4"/>
  <c r="M16" i="4"/>
  <c r="M94" i="4" s="1"/>
  <c r="I13" i="4"/>
  <c r="I11" i="4"/>
  <c r="I12" i="4"/>
  <c r="D11" i="4"/>
  <c r="P8" i="4"/>
  <c r="D13" i="4"/>
  <c r="D12" i="4"/>
  <c r="E108" i="4"/>
  <c r="E53" i="4" s="1"/>
  <c r="E23" i="4"/>
  <c r="AL31" i="8"/>
  <c r="C85" i="4"/>
  <c r="P19" i="4"/>
  <c r="D44" i="4"/>
  <c r="I44" i="4"/>
  <c r="M44" i="4"/>
  <c r="O44" i="4"/>
  <c r="L108" i="4"/>
  <c r="L53" i="4" s="1"/>
  <c r="L23" i="4"/>
  <c r="P20" i="4"/>
  <c r="F94" i="4"/>
  <c r="D98" i="4" s="1"/>
  <c r="N11" i="4"/>
  <c r="N12" i="4"/>
  <c r="N13" i="4"/>
  <c r="I108" i="4"/>
  <c r="I53" i="4" s="1"/>
  <c r="I23" i="4"/>
  <c r="D95" i="4"/>
  <c r="P92" i="4"/>
  <c r="AA30" i="7"/>
  <c r="AL20" i="7"/>
  <c r="F50" i="4"/>
  <c r="G48" i="4"/>
  <c r="K121" i="4"/>
  <c r="K33" i="4"/>
  <c r="F108" i="4"/>
  <c r="F53" i="4" s="1"/>
  <c r="F23" i="4"/>
  <c r="G12" i="4"/>
  <c r="G11" i="4"/>
  <c r="G13" i="4"/>
  <c r="F13" i="4"/>
  <c r="F12" i="4"/>
  <c r="F14" i="4" s="1"/>
  <c r="F11" i="4"/>
  <c r="C30" i="7"/>
  <c r="AJ20" i="7"/>
  <c r="K102" i="4"/>
  <c r="G18" i="4"/>
  <c r="G21" i="4" s="1"/>
  <c r="F98" i="4"/>
  <c r="B7" i="6"/>
  <c r="C7" i="6" s="1"/>
  <c r="K11" i="4"/>
  <c r="K12" i="4"/>
  <c r="K13" i="4"/>
  <c r="G108" i="4"/>
  <c r="G53" i="4" s="1"/>
  <c r="G23" i="4"/>
  <c r="H18" i="4"/>
  <c r="H21" i="4" s="1"/>
  <c r="D28" i="9"/>
  <c r="D29" i="9" s="1"/>
  <c r="C31" i="9"/>
  <c r="J16" i="4"/>
  <c r="J94" i="4" s="1"/>
  <c r="F76" i="4"/>
  <c r="F113" i="4" s="1"/>
  <c r="E57" i="4"/>
  <c r="E59" i="4"/>
  <c r="O14" i="4" l="1"/>
  <c r="H14" i="4"/>
  <c r="M14" i="4"/>
  <c r="I14" i="4"/>
  <c r="G76" i="4"/>
  <c r="G113" i="4" s="1"/>
  <c r="F57" i="4"/>
  <c r="F59" i="4" s="1"/>
  <c r="I15" i="4"/>
  <c r="G50" i="4"/>
  <c r="H48" i="4"/>
  <c r="AJ30" i="7"/>
  <c r="C32" i="7"/>
  <c r="M18" i="4"/>
  <c r="M21" i="4" s="1"/>
  <c r="L98" i="4"/>
  <c r="K18" i="4"/>
  <c r="K21" i="4" s="1"/>
  <c r="J98" i="4"/>
  <c r="AK30" i="7"/>
  <c r="O32" i="7"/>
  <c r="K69" i="4"/>
  <c r="O15" i="4"/>
  <c r="L121" i="4"/>
  <c r="L33" i="4"/>
  <c r="L69" i="4" s="1"/>
  <c r="L14" i="4"/>
  <c r="K14" i="4"/>
  <c r="K15" i="4" s="1"/>
  <c r="L15" i="4"/>
  <c r="L102" i="4"/>
  <c r="F15" i="4"/>
  <c r="P95" i="4"/>
  <c r="D108" i="4"/>
  <c r="D53" i="4" s="1"/>
  <c r="D23" i="4"/>
  <c r="O18" i="4"/>
  <c r="O21" i="4"/>
  <c r="N98" i="4"/>
  <c r="J14" i="4"/>
  <c r="J15" i="4" s="1"/>
  <c r="K49" i="4"/>
  <c r="L49" i="4" s="1"/>
  <c r="AL30" i="7"/>
  <c r="AA32" i="7"/>
  <c r="E28" i="9"/>
  <c r="E29" i="9" s="1"/>
  <c r="D31" i="9"/>
  <c r="K98" i="4"/>
  <c r="D14" i="4"/>
  <c r="P12" i="4"/>
  <c r="H98" i="4"/>
  <c r="I18" i="4"/>
  <c r="I21" i="4" s="1"/>
  <c r="F18" i="4"/>
  <c r="F21" i="4"/>
  <c r="E98" i="4"/>
  <c r="J18" i="4"/>
  <c r="J21" i="4" s="1"/>
  <c r="I98" i="4"/>
  <c r="P13" i="4"/>
  <c r="H15" i="4"/>
  <c r="G14" i="4"/>
  <c r="G15" i="4" s="1"/>
  <c r="M98" i="4"/>
  <c r="P16" i="4"/>
  <c r="M15" i="4"/>
  <c r="N14" i="4"/>
  <c r="N15" i="4" s="1"/>
  <c r="P11" i="4"/>
  <c r="E14" i="4"/>
  <c r="E15" i="4" s="1"/>
  <c r="P94" i="4"/>
  <c r="D18" i="4"/>
  <c r="P18" i="4" s="1"/>
  <c r="O98" i="4"/>
  <c r="D21" i="4" l="1"/>
  <c r="G29" i="4"/>
  <c r="G22" i="4"/>
  <c r="G42" i="4"/>
  <c r="E29" i="4"/>
  <c r="E42" i="4"/>
  <c r="E22" i="4"/>
  <c r="J42" i="4"/>
  <c r="K70" i="4" s="1"/>
  <c r="J22" i="4"/>
  <c r="J29" i="4"/>
  <c r="N42" i="4"/>
  <c r="O70" i="4" s="1"/>
  <c r="N29" i="4"/>
  <c r="N22" i="4"/>
  <c r="K22" i="4"/>
  <c r="K42" i="4"/>
  <c r="K29" i="4"/>
  <c r="H76" i="4"/>
  <c r="H113" i="4" s="1"/>
  <c r="G57" i="4"/>
  <c r="G59" i="4" s="1"/>
  <c r="P14" i="4"/>
  <c r="H50" i="4"/>
  <c r="I48" i="4"/>
  <c r="O42" i="4"/>
  <c r="O29" i="4"/>
  <c r="O22" i="4"/>
  <c r="M102" i="4"/>
  <c r="AK32" i="7"/>
  <c r="O34" i="7"/>
  <c r="I22" i="4"/>
  <c r="I29" i="4"/>
  <c r="I42" i="4"/>
  <c r="L42" i="4"/>
  <c r="L22" i="4"/>
  <c r="L29" i="4"/>
  <c r="H22" i="4"/>
  <c r="H29" i="4"/>
  <c r="H42" i="4"/>
  <c r="I70" i="4" s="1"/>
  <c r="P21" i="4"/>
  <c r="P23" i="4"/>
  <c r="D99" i="4"/>
  <c r="AL32" i="7"/>
  <c r="AA34" i="7"/>
  <c r="F29" i="4"/>
  <c r="F42" i="4"/>
  <c r="F22" i="4"/>
  <c r="M42" i="4"/>
  <c r="M29" i="4"/>
  <c r="M22" i="4"/>
  <c r="AJ32" i="7"/>
  <c r="C34" i="7"/>
  <c r="D15" i="4"/>
  <c r="F28" i="9"/>
  <c r="F29" i="9" s="1"/>
  <c r="E31" i="9"/>
  <c r="M121" i="4"/>
  <c r="M33" i="4"/>
  <c r="M49" i="4" s="1"/>
  <c r="N70" i="4" l="1"/>
  <c r="G70" i="4"/>
  <c r="I76" i="4"/>
  <c r="H57" i="4"/>
  <c r="H59" i="4" s="1"/>
  <c r="G28" i="9"/>
  <c r="G29" i="9" s="1"/>
  <c r="F31" i="9"/>
  <c r="B45" i="5"/>
  <c r="D42" i="4"/>
  <c r="D29" i="4"/>
  <c r="P29" i="4" s="1"/>
  <c r="P15" i="4"/>
  <c r="D22" i="4"/>
  <c r="F70" i="4"/>
  <c r="N102" i="4"/>
  <c r="N121" i="4"/>
  <c r="N33" i="4"/>
  <c r="N69" i="4" s="1"/>
  <c r="M70" i="4"/>
  <c r="H70" i="4"/>
  <c r="C36" i="7"/>
  <c r="AJ36" i="7" s="1"/>
  <c r="AJ34" i="7"/>
  <c r="AA36" i="7"/>
  <c r="AL36" i="7" s="1"/>
  <c r="C116" i="4"/>
  <c r="AL34" i="7"/>
  <c r="L70" i="4"/>
  <c r="M69" i="4"/>
  <c r="O36" i="7"/>
  <c r="AK36" i="7" s="1"/>
  <c r="AK34" i="7"/>
  <c r="D103" i="4"/>
  <c r="D28" i="4"/>
  <c r="D43" i="4"/>
  <c r="D106" i="4"/>
  <c r="J70" i="4"/>
  <c r="J48" i="4"/>
  <c r="I50" i="4"/>
  <c r="E70" i="4" l="1"/>
  <c r="D70" i="4"/>
  <c r="P70" i="4" s="1"/>
  <c r="D45" i="4"/>
  <c r="H28" i="9"/>
  <c r="H29" i="9" s="1"/>
  <c r="G31" i="9"/>
  <c r="P33" i="4"/>
  <c r="P22" i="4"/>
  <c r="J50" i="4"/>
  <c r="K48" i="4"/>
  <c r="I113" i="4"/>
  <c r="D107" i="4"/>
  <c r="D52" i="4" s="1"/>
  <c r="D31" i="4"/>
  <c r="O121" i="4"/>
  <c r="O33" i="4"/>
  <c r="O69" i="4" s="1"/>
  <c r="P69" i="4" s="1"/>
  <c r="O102" i="4"/>
  <c r="D71" i="4"/>
  <c r="D30" i="4"/>
  <c r="E99" i="4"/>
  <c r="N49" i="4"/>
  <c r="O49" i="4" s="1"/>
  <c r="J76" i="4" l="1"/>
  <c r="I57" i="4"/>
  <c r="I59" i="4" s="1"/>
  <c r="J113" i="4"/>
  <c r="D32" i="4"/>
  <c r="E28" i="4"/>
  <c r="E103" i="4"/>
  <c r="E106" i="4"/>
  <c r="I28" i="9"/>
  <c r="I29" i="9" s="1"/>
  <c r="H31" i="9"/>
  <c r="E43" i="4"/>
  <c r="D72" i="4"/>
  <c r="K50" i="4"/>
  <c r="L48" i="4"/>
  <c r="D104" i="4"/>
  <c r="D34" i="4" l="1"/>
  <c r="D46" i="4"/>
  <c r="D55" i="4"/>
  <c r="K76" i="4"/>
  <c r="J57" i="4"/>
  <c r="J59" i="4" s="1"/>
  <c r="E45" i="4"/>
  <c r="J28" i="9"/>
  <c r="J29" i="9" s="1"/>
  <c r="I31" i="9"/>
  <c r="L50" i="4"/>
  <c r="M48" i="4"/>
  <c r="F99" i="4"/>
  <c r="E71" i="4"/>
  <c r="E30" i="4"/>
  <c r="E107" i="4" s="1"/>
  <c r="E52" i="4" l="1"/>
  <c r="E72" i="4"/>
  <c r="K28" i="9"/>
  <c r="K29" i="9" s="1"/>
  <c r="J31" i="9"/>
  <c r="D36" i="4"/>
  <c r="E31" i="4"/>
  <c r="F103" i="4"/>
  <c r="F28" i="4"/>
  <c r="F106" i="4"/>
  <c r="F43" i="4"/>
  <c r="E104" i="4"/>
  <c r="N48" i="4"/>
  <c r="M50" i="4"/>
  <c r="K113" i="4"/>
  <c r="F45" i="4" l="1"/>
  <c r="E32" i="4"/>
  <c r="D116" i="4"/>
  <c r="D118" i="4" s="1"/>
  <c r="D37" i="4" s="1"/>
  <c r="D38" i="4"/>
  <c r="O48" i="4"/>
  <c r="O50" i="4" s="1"/>
  <c r="N50" i="4"/>
  <c r="E55" i="4"/>
  <c r="E46" i="4"/>
  <c r="G99" i="4"/>
  <c r="F71" i="4"/>
  <c r="F30" i="4"/>
  <c r="F107" i="4" s="1"/>
  <c r="L76" i="4"/>
  <c r="K57" i="4"/>
  <c r="K59" i="4" s="1"/>
  <c r="L28" i="9"/>
  <c r="L29" i="9" s="1"/>
  <c r="K31" i="9"/>
  <c r="F52" i="4" l="1"/>
  <c r="F72" i="4"/>
  <c r="G103" i="4"/>
  <c r="G28" i="4"/>
  <c r="G106" i="4"/>
  <c r="G43" i="4"/>
  <c r="D68" i="4"/>
  <c r="D63" i="4"/>
  <c r="D54" i="4"/>
  <c r="F31" i="4"/>
  <c r="E34" i="4"/>
  <c r="L31" i="9"/>
  <c r="M28" i="9"/>
  <c r="M29" i="9" s="1"/>
  <c r="F104" i="4"/>
  <c r="L113" i="4"/>
  <c r="G105" i="4" l="1"/>
  <c r="F55" i="4"/>
  <c r="F46" i="4"/>
  <c r="N28" i="9"/>
  <c r="N29" i="9" s="1"/>
  <c r="M31" i="9"/>
  <c r="H99" i="4"/>
  <c r="H43" i="4" s="1"/>
  <c r="G71" i="4"/>
  <c r="G30" i="4"/>
  <c r="G31" i="4" s="1"/>
  <c r="G45" i="4"/>
  <c r="G107" i="4"/>
  <c r="G52" i="4" s="1"/>
  <c r="F32" i="4"/>
  <c r="L57" i="4"/>
  <c r="L59" i="4" s="1"/>
  <c r="M76" i="4"/>
  <c r="D73" i="4"/>
  <c r="D74" i="4" s="1"/>
  <c r="G32" i="4" l="1"/>
  <c r="G34" i="4" s="1"/>
  <c r="I99" i="4"/>
  <c r="I43" i="4" s="1"/>
  <c r="H30" i="4"/>
  <c r="H71" i="4"/>
  <c r="D112" i="4"/>
  <c r="G104" i="4"/>
  <c r="AJ29" i="9"/>
  <c r="O28" i="9"/>
  <c r="N31" i="9"/>
  <c r="AJ31" i="9" s="1"/>
  <c r="G72" i="4"/>
  <c r="F34" i="4"/>
  <c r="M113" i="4"/>
  <c r="H103" i="4"/>
  <c r="H28" i="4"/>
  <c r="H106" i="4"/>
  <c r="J99" i="4" l="1"/>
  <c r="I71" i="4"/>
  <c r="I30" i="4"/>
  <c r="H107" i="4"/>
  <c r="H31" i="4"/>
  <c r="H32" i="4" s="1"/>
  <c r="M57" i="4"/>
  <c r="M59" i="4" s="1"/>
  <c r="N76" i="4"/>
  <c r="H45" i="4"/>
  <c r="D77" i="4"/>
  <c r="D79" i="4" s="1"/>
  <c r="D78" i="4"/>
  <c r="I103" i="4"/>
  <c r="I28" i="4"/>
  <c r="I106" i="4"/>
  <c r="O29" i="9"/>
  <c r="AK28" i="9"/>
  <c r="H104" i="4"/>
  <c r="G46" i="4"/>
  <c r="G55" i="4"/>
  <c r="H72" i="4"/>
  <c r="H52" i="4"/>
  <c r="D61" i="4" l="1"/>
  <c r="I45" i="4"/>
  <c r="N113" i="4"/>
  <c r="H34" i="4"/>
  <c r="I104" i="4"/>
  <c r="H55" i="4"/>
  <c r="H46" i="4"/>
  <c r="I107" i="4"/>
  <c r="I72" i="4" s="1"/>
  <c r="I31" i="4"/>
  <c r="I32" i="4" s="1"/>
  <c r="I34" i="4" s="1"/>
  <c r="D56" i="4"/>
  <c r="J103" i="4"/>
  <c r="J28" i="4"/>
  <c r="J106" i="4"/>
  <c r="P28" i="9"/>
  <c r="P29" i="9" s="1"/>
  <c r="O31" i="9"/>
  <c r="J43" i="4"/>
  <c r="D80" i="4" l="1"/>
  <c r="E35" i="4"/>
  <c r="D58" i="4"/>
  <c r="D60" i="4" s="1"/>
  <c r="J45" i="4"/>
  <c r="I52" i="4"/>
  <c r="O76" i="4"/>
  <c r="N57" i="4"/>
  <c r="N59" i="4" s="1"/>
  <c r="K99" i="4"/>
  <c r="K43" i="4" s="1"/>
  <c r="J71" i="4"/>
  <c r="J30" i="4"/>
  <c r="J107" i="4" s="1"/>
  <c r="Q28" i="9"/>
  <c r="Q29" i="9" s="1"/>
  <c r="P31" i="9"/>
  <c r="J105" i="4"/>
  <c r="I46" i="4"/>
  <c r="I55" i="4"/>
  <c r="J104" i="4" l="1"/>
  <c r="J72" i="4"/>
  <c r="J52" i="4"/>
  <c r="L99" i="4"/>
  <c r="L43" i="4" s="1"/>
  <c r="K30" i="4"/>
  <c r="K71" i="4"/>
  <c r="E36" i="4"/>
  <c r="K104" i="4"/>
  <c r="J46" i="4"/>
  <c r="J55" i="4"/>
  <c r="P76" i="4"/>
  <c r="O113" i="4"/>
  <c r="D62" i="4"/>
  <c r="D81" i="4"/>
  <c r="J31" i="4"/>
  <c r="J32" i="4" s="1"/>
  <c r="R28" i="9"/>
  <c r="R29" i="9" s="1"/>
  <c r="Q31" i="9"/>
  <c r="K103" i="4"/>
  <c r="K28" i="4"/>
  <c r="K106" i="4"/>
  <c r="M99" i="4" l="1"/>
  <c r="M43" i="4" s="1"/>
  <c r="L71" i="4"/>
  <c r="L30" i="4"/>
  <c r="S28" i="9"/>
  <c r="S29" i="9" s="1"/>
  <c r="R31" i="9"/>
  <c r="K46" i="4"/>
  <c r="K55" i="4"/>
  <c r="D82" i="4"/>
  <c r="L103" i="4"/>
  <c r="L28" i="4"/>
  <c r="L104" i="4" s="1"/>
  <c r="L106" i="4"/>
  <c r="E116" i="4"/>
  <c r="E118" i="4" s="1"/>
  <c r="E37" i="4" s="1"/>
  <c r="D64" i="4"/>
  <c r="D65" i="4" s="1"/>
  <c r="K107" i="4"/>
  <c r="K72" i="4" s="1"/>
  <c r="K31" i="4"/>
  <c r="K32" i="4" s="1"/>
  <c r="K34" i="4" s="1"/>
  <c r="J34" i="4"/>
  <c r="O57" i="4"/>
  <c r="O59" i="4" s="1"/>
  <c r="K45" i="4"/>
  <c r="N99" i="4" l="1"/>
  <c r="M71" i="4"/>
  <c r="M30" i="4"/>
  <c r="L46" i="4"/>
  <c r="M105" i="4"/>
  <c r="P105" i="4" s="1"/>
  <c r="L55" i="4"/>
  <c r="M104" i="4"/>
  <c r="T28" i="9"/>
  <c r="T29" i="9" s="1"/>
  <c r="S31" i="9"/>
  <c r="L45" i="4"/>
  <c r="K52" i="4"/>
  <c r="E54" i="4"/>
  <c r="E38" i="4"/>
  <c r="M103" i="4"/>
  <c r="M28" i="4"/>
  <c r="M106" i="4"/>
  <c r="L107" i="4"/>
  <c r="L72" i="4" s="1"/>
  <c r="L31" i="4"/>
  <c r="L32" i="4" s="1"/>
  <c r="L34" i="4" s="1"/>
  <c r="D41" i="4"/>
  <c r="D86" i="4"/>
  <c r="M107" i="4" l="1"/>
  <c r="M31" i="4"/>
  <c r="M32" i="4" s="1"/>
  <c r="M34" i="4" s="1"/>
  <c r="M55" i="4"/>
  <c r="M46" i="4"/>
  <c r="U28" i="9"/>
  <c r="U29" i="9" s="1"/>
  <c r="T31" i="9"/>
  <c r="M72" i="4"/>
  <c r="M52" i="4"/>
  <c r="M45" i="4"/>
  <c r="E68" i="4"/>
  <c r="E63" i="4"/>
  <c r="N28" i="4"/>
  <c r="N103" i="4"/>
  <c r="N106" i="4"/>
  <c r="L52" i="4"/>
  <c r="N43" i="4"/>
  <c r="E73" i="4"/>
  <c r="D47" i="4"/>
  <c r="D51" i="4" s="1"/>
  <c r="D85" i="4" s="1"/>
  <c r="V28" i="9" l="1"/>
  <c r="V29" i="9" s="1"/>
  <c r="U31" i="9"/>
  <c r="O99" i="4"/>
  <c r="N71" i="4"/>
  <c r="N30" i="4"/>
  <c r="N104" i="4" s="1"/>
  <c r="N45" i="4"/>
  <c r="E74" i="4"/>
  <c r="N55" i="4" l="1"/>
  <c r="N46" i="4"/>
  <c r="E112" i="4"/>
  <c r="O103" i="4"/>
  <c r="O28" i="4"/>
  <c r="O106" i="4"/>
  <c r="P99" i="4"/>
  <c r="O43" i="4"/>
  <c r="N31" i="4"/>
  <c r="N32" i="4" s="1"/>
  <c r="N34" i="4" s="1"/>
  <c r="N107" i="4"/>
  <c r="W28" i="9"/>
  <c r="W29" i="9" s="1"/>
  <c r="V31" i="9"/>
  <c r="O45" i="4" l="1"/>
  <c r="X28" i="9"/>
  <c r="X29" i="9" s="1"/>
  <c r="W31" i="9"/>
  <c r="P28" i="4"/>
  <c r="E78" i="4"/>
  <c r="E77" i="4"/>
  <c r="O30" i="4"/>
  <c r="P30" i="4" s="1"/>
  <c r="O71" i="4"/>
  <c r="P71" i="4" s="1"/>
  <c r="N52" i="4"/>
  <c r="N72" i="4"/>
  <c r="O107" i="4" l="1"/>
  <c r="O52" i="4" s="1"/>
  <c r="O31" i="4"/>
  <c r="O104" i="4"/>
  <c r="E56" i="4"/>
  <c r="E79" i="4"/>
  <c r="O55" i="4"/>
  <c r="O46" i="4"/>
  <c r="O32" i="4"/>
  <c r="P31" i="4"/>
  <c r="X31" i="9"/>
  <c r="Y28" i="9"/>
  <c r="Y29" i="9" s="1"/>
  <c r="O72" i="4"/>
  <c r="P72" i="4" s="1"/>
  <c r="E61" i="4" l="1"/>
  <c r="E80" i="4"/>
  <c r="F35" i="4"/>
  <c r="E58" i="4"/>
  <c r="E60" i="4" s="1"/>
  <c r="E81" i="4"/>
  <c r="O34" i="4"/>
  <c r="P32" i="4"/>
  <c r="Z28" i="9"/>
  <c r="Z29" i="9" s="1"/>
  <c r="Y31" i="9"/>
  <c r="P34" i="4" l="1"/>
  <c r="AA28" i="9"/>
  <c r="Z31" i="9"/>
  <c r="AK31" i="9" s="1"/>
  <c r="AK29" i="9"/>
  <c r="F36" i="4"/>
  <c r="E62" i="4"/>
  <c r="E82" i="4"/>
  <c r="E64" i="4" l="1"/>
  <c r="E65" i="4" s="1"/>
  <c r="F116" i="4"/>
  <c r="AA29" i="9"/>
  <c r="AL28" i="9"/>
  <c r="E41" i="4"/>
  <c r="E86" i="4" s="1"/>
  <c r="E47" i="4" l="1"/>
  <c r="E51" i="4" s="1"/>
  <c r="E85" i="4" s="1"/>
  <c r="AB28" i="9"/>
  <c r="AB29" i="9" s="1"/>
  <c r="AA31" i="9"/>
  <c r="F118" i="4"/>
  <c r="G117" i="4"/>
  <c r="H117" i="4" s="1"/>
  <c r="I117" i="4" s="1"/>
  <c r="J117" i="4" s="1"/>
  <c r="K117" i="4" s="1"/>
  <c r="L117" i="4" s="1"/>
  <c r="M117" i="4" s="1"/>
  <c r="N117" i="4" s="1"/>
  <c r="O117" i="4" s="1"/>
  <c r="G119" i="4" l="1"/>
  <c r="H120" i="4" s="1"/>
  <c r="P120" i="4" s="1"/>
  <c r="F37" i="4"/>
  <c r="AC28" i="9"/>
  <c r="AC29" i="9" s="1"/>
  <c r="AB31" i="9"/>
  <c r="F54" i="4" l="1"/>
  <c r="F38" i="4"/>
  <c r="AD28" i="9"/>
  <c r="AD29" i="9" s="1"/>
  <c r="AC31" i="9"/>
  <c r="AE28" i="9" l="1"/>
  <c r="AE29" i="9" s="1"/>
  <c r="AD31" i="9"/>
  <c r="F68" i="4"/>
  <c r="F73" i="4"/>
  <c r="F74" i="4" l="1"/>
  <c r="AF28" i="9"/>
  <c r="AF29" i="9" s="1"/>
  <c r="AE31" i="9"/>
  <c r="AG28" i="9" l="1"/>
  <c r="AG29" i="9" s="1"/>
  <c r="AF31" i="9"/>
  <c r="F112" i="4"/>
  <c r="F78" i="4" l="1"/>
  <c r="F77" i="4"/>
  <c r="F79" i="4" s="1"/>
  <c r="AH28" i="9"/>
  <c r="AH29" i="9" s="1"/>
  <c r="AG31" i="9"/>
  <c r="F61" i="4" l="1"/>
  <c r="AI28" i="9"/>
  <c r="AI29" i="9" s="1"/>
  <c r="AH31" i="9"/>
  <c r="F56" i="4"/>
  <c r="F80" i="4" l="1"/>
  <c r="G35" i="4"/>
  <c r="F58" i="4"/>
  <c r="F60" i="4" s="1"/>
  <c r="AI31" i="9"/>
  <c r="AL29" i="9"/>
  <c r="G36" i="4" l="1"/>
  <c r="AL31" i="9"/>
  <c r="B8" i="6"/>
  <c r="C8" i="6" s="1"/>
  <c r="F62" i="4"/>
  <c r="F81" i="4"/>
  <c r="F82" i="4" l="1"/>
  <c r="F64" i="4"/>
  <c r="F65" i="4" s="1"/>
  <c r="G116" i="4"/>
  <c r="G118" i="4" s="1"/>
  <c r="G37" i="4" s="1"/>
  <c r="G38" i="4" s="1"/>
  <c r="G68" i="4" l="1"/>
  <c r="G63" i="4"/>
  <c r="F41" i="4"/>
  <c r="G54" i="4"/>
  <c r="F47" i="4" l="1"/>
  <c r="F51" i="4" s="1"/>
  <c r="F85" i="4" s="1"/>
  <c r="G73" i="4"/>
  <c r="G74" i="4" s="1"/>
  <c r="F86" i="4"/>
  <c r="G112" i="4" l="1"/>
  <c r="G77" i="4" l="1"/>
  <c r="G79" i="4" s="1"/>
  <c r="G78" i="4"/>
  <c r="G61" i="4" l="1"/>
  <c r="G56" i="4"/>
  <c r="G80" i="4" l="1"/>
  <c r="H35" i="4"/>
  <c r="H36" i="4" s="1"/>
  <c r="G58" i="4"/>
  <c r="G60" i="4" s="1"/>
  <c r="H116" i="4" l="1"/>
  <c r="H118" i="4" s="1"/>
  <c r="H37" i="4" s="1"/>
  <c r="H38" i="4" s="1"/>
  <c r="G62" i="4"/>
  <c r="G81" i="4"/>
  <c r="H68" i="4" l="1"/>
  <c r="H63" i="4"/>
  <c r="G82" i="4"/>
  <c r="G64" i="4"/>
  <c r="G65" i="4" s="1"/>
  <c r="H54" i="4"/>
  <c r="H73" i="4" l="1"/>
  <c r="G41" i="4"/>
  <c r="H74" i="4"/>
  <c r="H112" i="4" l="1"/>
  <c r="G47" i="4"/>
  <c r="G51" i="4" s="1"/>
  <c r="G85" i="4" s="1"/>
  <c r="G86" i="4"/>
  <c r="H78" i="4" l="1"/>
  <c r="H77" i="4"/>
  <c r="H79" i="4" s="1"/>
  <c r="H61" i="4" l="1"/>
  <c r="H56" i="4"/>
  <c r="H80" i="4" l="1"/>
  <c r="I35" i="4"/>
  <c r="I36" i="4" s="1"/>
  <c r="H58" i="4"/>
  <c r="H60" i="4" s="1"/>
  <c r="I116" i="4" l="1"/>
  <c r="I118" i="4" s="1"/>
  <c r="I37" i="4" s="1"/>
  <c r="I54" i="4" s="1"/>
  <c r="H62" i="4"/>
  <c r="H81" i="4"/>
  <c r="H64" i="4" l="1"/>
  <c r="H65" i="4" s="1"/>
  <c r="I38" i="4"/>
  <c r="H82" i="4"/>
  <c r="I73" i="4"/>
  <c r="I68" i="4" l="1"/>
  <c r="I74" i="4" s="1"/>
  <c r="I63" i="4"/>
  <c r="H41" i="4"/>
  <c r="I112" i="4" l="1"/>
  <c r="H47" i="4"/>
  <c r="H51" i="4" s="1"/>
  <c r="H85" i="4" s="1"/>
  <c r="H86" i="4"/>
  <c r="I78" i="4" l="1"/>
  <c r="I77" i="4"/>
  <c r="I56" i="4" l="1"/>
  <c r="I79" i="4"/>
  <c r="I61" i="4" s="1"/>
  <c r="I80" i="4" l="1"/>
  <c r="I62" i="4" s="1"/>
  <c r="J35" i="4"/>
  <c r="J36" i="4" s="1"/>
  <c r="I58" i="4"/>
  <c r="I60" i="4" s="1"/>
  <c r="I81" i="4"/>
  <c r="I82" i="4" s="1"/>
  <c r="I41" i="4" l="1"/>
  <c r="J116" i="4"/>
  <c r="J118" i="4" s="1"/>
  <c r="J37" i="4" s="1"/>
  <c r="J54" i="4" s="1"/>
  <c r="I64" i="4"/>
  <c r="I65" i="4" s="1"/>
  <c r="J38" i="4" l="1"/>
  <c r="J73" i="4"/>
  <c r="I47" i="4"/>
  <c r="I51" i="4" s="1"/>
  <c r="I85" i="4" s="1"/>
  <c r="I86" i="4"/>
  <c r="J68" i="4" l="1"/>
  <c r="J74" i="4" s="1"/>
  <c r="J63" i="4"/>
  <c r="J112" i="4" l="1"/>
  <c r="J77" i="4" l="1"/>
  <c r="J78" i="4"/>
  <c r="J79" i="4"/>
  <c r="J61" i="4" s="1"/>
  <c r="J56" i="4" l="1"/>
  <c r="J80" i="4" l="1"/>
  <c r="K35" i="4"/>
  <c r="K36" i="4" s="1"/>
  <c r="J58" i="4"/>
  <c r="J60" i="4" s="1"/>
  <c r="K116" i="4" l="1"/>
  <c r="K118" i="4" s="1"/>
  <c r="K37" i="4" s="1"/>
  <c r="K54" i="4" s="1"/>
  <c r="J62" i="4"/>
  <c r="J81" i="4"/>
  <c r="J82" i="4" s="1"/>
  <c r="J41" i="4" l="1"/>
  <c r="J64" i="4"/>
  <c r="J65" i="4" s="1"/>
  <c r="K38" i="4"/>
  <c r="K73" i="4"/>
  <c r="K68" i="4" l="1"/>
  <c r="K74" i="4" s="1"/>
  <c r="K63" i="4"/>
  <c r="J47" i="4"/>
  <c r="J51" i="4" s="1"/>
  <c r="J85" i="4" s="1"/>
  <c r="K112" i="4"/>
  <c r="J86" i="4"/>
  <c r="K77" i="4" l="1"/>
  <c r="K78" i="4"/>
  <c r="K79" i="4"/>
  <c r="K61" i="4" s="1"/>
  <c r="K56" i="4" l="1"/>
  <c r="K80" i="4" l="1"/>
  <c r="L35" i="4"/>
  <c r="L36" i="4" s="1"/>
  <c r="K58" i="4"/>
  <c r="K60" i="4" s="1"/>
  <c r="L116" i="4" l="1"/>
  <c r="L118" i="4" s="1"/>
  <c r="L37" i="4" s="1"/>
  <c r="L54" i="4" s="1"/>
  <c r="K62" i="4"/>
  <c r="K81" i="4"/>
  <c r="K82" i="4" s="1"/>
  <c r="K41" i="4" l="1"/>
  <c r="K64" i="4"/>
  <c r="K65" i="4" s="1"/>
  <c r="L38" i="4"/>
  <c r="L73" i="4"/>
  <c r="L68" i="4" l="1"/>
  <c r="L74" i="4" s="1"/>
  <c r="L63" i="4"/>
  <c r="K47" i="4"/>
  <c r="K51" i="4" s="1"/>
  <c r="K85" i="4" s="1"/>
  <c r="L112" i="4"/>
  <c r="K86" i="4"/>
  <c r="L77" i="4" l="1"/>
  <c r="L78" i="4"/>
  <c r="L56" i="4" l="1"/>
  <c r="L79" i="4"/>
  <c r="L61" i="4" s="1"/>
  <c r="L80" i="4" l="1"/>
  <c r="L62" i="4" s="1"/>
  <c r="M35" i="4"/>
  <c r="M36" i="4" s="1"/>
  <c r="L58" i="4"/>
  <c r="L60" i="4" s="1"/>
  <c r="L64" i="4"/>
  <c r="L81" i="4"/>
  <c r="L82" i="4" s="1"/>
  <c r="L65" i="4" l="1"/>
  <c r="M116" i="4"/>
  <c r="M118" i="4" s="1"/>
  <c r="M37" i="4" s="1"/>
  <c r="M54" i="4" s="1"/>
  <c r="L41" i="4"/>
  <c r="L47" i="4" l="1"/>
  <c r="L51" i="4" s="1"/>
  <c r="L85" i="4" s="1"/>
  <c r="L86" i="4"/>
  <c r="M38" i="4"/>
  <c r="M73" i="4"/>
  <c r="M68" i="4" l="1"/>
  <c r="M74" i="4" s="1"/>
  <c r="M63" i="4"/>
  <c r="M112" i="4" l="1"/>
  <c r="M77" i="4" l="1"/>
  <c r="M78" i="4"/>
  <c r="M56" i="4" l="1"/>
  <c r="M79" i="4"/>
  <c r="M61" i="4" s="1"/>
  <c r="M80" i="4" l="1"/>
  <c r="M62" i="4" s="1"/>
  <c r="N35" i="4"/>
  <c r="N36" i="4" s="1"/>
  <c r="M58" i="4"/>
  <c r="M60" i="4" s="1"/>
  <c r="N116" i="4" l="1"/>
  <c r="N118" i="4" s="1"/>
  <c r="N37" i="4" s="1"/>
  <c r="N54" i="4" s="1"/>
  <c r="M81" i="4"/>
  <c r="M82" i="4" s="1"/>
  <c r="M64" i="4"/>
  <c r="M65" i="4" s="1"/>
  <c r="M41" i="4" l="1"/>
  <c r="N38" i="4"/>
  <c r="N73" i="4"/>
  <c r="N68" i="4" l="1"/>
  <c r="N74" i="4" s="1"/>
  <c r="N63" i="4"/>
  <c r="N112" i="4"/>
  <c r="M47" i="4"/>
  <c r="M51" i="4" s="1"/>
  <c r="M85" i="4" s="1"/>
  <c r="M86" i="4"/>
  <c r="N78" i="4" l="1"/>
  <c r="N77" i="4"/>
  <c r="N79" i="4"/>
  <c r="N61" i="4" s="1"/>
  <c r="N56" i="4" l="1"/>
  <c r="N80" i="4" l="1"/>
  <c r="O35" i="4"/>
  <c r="N58" i="4"/>
  <c r="N60" i="4" s="1"/>
  <c r="O36" i="4" l="1"/>
  <c r="P35" i="4"/>
  <c r="N62" i="4"/>
  <c r="N81" i="4"/>
  <c r="N82" i="4" s="1"/>
  <c r="N41" i="4" l="1"/>
  <c r="N86" i="4"/>
  <c r="N64" i="4"/>
  <c r="N65" i="4" s="1"/>
  <c r="O116" i="4"/>
  <c r="O118" i="4" s="1"/>
  <c r="O37" i="4" s="1"/>
  <c r="O38" i="4" s="1"/>
  <c r="P36" i="4"/>
  <c r="O68" i="4" l="1"/>
  <c r="B46" i="5"/>
  <c r="P38" i="4"/>
  <c r="O63" i="4"/>
  <c r="P37" i="4"/>
  <c r="O54" i="4"/>
  <c r="N47" i="4"/>
  <c r="N51" i="4" s="1"/>
  <c r="N85" i="4" s="1"/>
  <c r="O73" i="4" l="1"/>
  <c r="P73" i="4" s="1"/>
  <c r="P68" i="4"/>
  <c r="O74" i="4" l="1"/>
  <c r="P74" i="4"/>
  <c r="O112" i="4"/>
  <c r="O77" i="4" l="1"/>
  <c r="O78" i="4"/>
  <c r="P78" i="4" s="1"/>
  <c r="O79" i="4"/>
  <c r="P79" i="4" l="1"/>
  <c r="B50" i="5"/>
  <c r="O61" i="4"/>
  <c r="P77" i="4"/>
  <c r="O56" i="4"/>
  <c r="O80" i="4" l="1"/>
  <c r="B49" i="5"/>
  <c r="O58" i="4"/>
  <c r="O60" i="4" s="1"/>
  <c r="P80" i="4" l="1"/>
  <c r="O62" i="4"/>
  <c r="O64" i="4" s="1"/>
  <c r="O65" i="4" s="1"/>
  <c r="O81" i="4"/>
  <c r="P81" i="4" l="1"/>
  <c r="O82" i="4"/>
  <c r="P82" i="4" l="1"/>
  <c r="O41" i="4"/>
  <c r="B47" i="5" l="1"/>
  <c r="O47" i="4"/>
  <c r="O51" i="4" s="1"/>
  <c r="O85" i="4" s="1"/>
  <c r="B48" i="5"/>
  <c r="O86" i="4"/>
  <c r="B10" i="6" s="1"/>
  <c r="C10" i="6" s="1"/>
  <c r="B51" i="5" l="1"/>
  <c r="B9" i="6"/>
  <c r="C9" i="6" s="1"/>
  <c r="C12" i="6" s="1"/>
</calcChain>
</file>

<file path=xl/sharedStrings.xml><?xml version="1.0" encoding="utf-8"?>
<sst xmlns="http://schemas.openxmlformats.org/spreadsheetml/2006/main" count="945" uniqueCount="605">
  <si>
    <t>⚠ SIMULATED FINANCIAL INFORMATION - illustrative Calgary management accounts, not Prairie Pulse E-Bikes' actual financials. Synthetic data generated for a VisiVault Analytics proof of concept (seed 20240101).</t>
  </si>
  <si>
    <t>Prairie Pulse E-Bikes - Integrated Three-Statement Financial Model (illustrative)</t>
  </si>
  <si>
    <t>Prepared by VisiVault Analytics Ltd. | Proof of concept | October 2026</t>
  </si>
  <si>
    <t>WHAT THIS IS</t>
  </si>
  <si>
    <t>Illustrative Calgary branch MANAGEMENT ACCOUNTS (not consolidated corporate statements), built by double entry from synthetic operational data.</t>
  </si>
  <si>
    <t>Historical months (Jan-2024 to Sep-2026) are SIMULATED actuals from the general ledger; Oct-2026 to Sep-2027 are FORECASTS.</t>
  </si>
  <si>
    <t>No figure describes Prairie Pulse E-Bikes' actual financial position, results or cash flows.</t>
  </si>
  <si>
    <t>HOW TO USE</t>
  </si>
  <si>
    <t>1. Assumptions!C4 - choose Conservative / Base / Optimistic / Custom (edit the Custom column freely).</t>
  </si>
  <si>
    <t>2. Drivers - edit any blue monthly input (volumes, staffing plan, marketing plan, capex plan, inventory cover policy).</t>
  </si>
  <si>
    <t>3. Forecast - three statements recalculate; the CHECKS rows and the Checks sheet must stay at 0 / TRUE.</t>
  </si>
  <si>
    <t>4. Scenario_Results - stored comparison of the three scenarios and the sensitivity analysis.</t>
  </si>
  <si>
    <t>CONVENTIONS</t>
  </si>
  <si>
    <t>Canadian dollars (CAD). Income-statement and cash-flow lines are signed: income/inflows positive, costs/outflows in (parentheses).</t>
  </si>
  <si>
    <t>Balance-sheet lines are balances; accumulated depreciation is shown in (parentheses). Blue-on-yellow cells are inputs; black cells are formulas.</t>
  </si>
  <si>
    <t>Interest is charged on opening balances and the revolver follows a cash-band rule, so the model has no circular references and no plugs.</t>
  </si>
  <si>
    <t>SHEETS</t>
  </si>
  <si>
    <t>Assumptions | Drivers | Forecast | Scenario_Results | Checks | Hist_IS | Hist_BS | Hist_CF | Hist_Balances</t>
  </si>
  <si>
    <t>ALLOCATION ASSUMPTIONS (Calgary as a branch of a multi-store business)</t>
  </si>
  <si>
    <t>Equity: $600,000 head-office investment at opening, recorded as allocated corporate equity.</t>
  </si>
  <si>
    <t>Debt: $250,000 share of corporate term debt (60-month amortisation, prime + 2.25%); $350,000 inventory revolver (prime + 1.00%).</t>
  </si>
  <si>
    <t>Corporate overhead: $650/month shared-services allocation (e-commerce platform, finance, brand), settled quarterly.</t>
  </si>
  <si>
    <t>Income tax: 23% combined federal + Alberta general rate allocated to branch profit, with loss carry-forward.</t>
  </si>
  <si>
    <t>Imputed inventory financing cost in the operational dataset is excluded; actual interest on the allocated debt is charged instead.</t>
  </si>
  <si>
    <t>Forecast assumptions - choose a scenario, or edit the Custom column</t>
  </si>
  <si>
    <t>Blue cells on yellow are inputs. Column H (Active) feeds every forecast formula.</t>
  </si>
  <si>
    <t>Active scenario  &gt;&gt;</t>
  </si>
  <si>
    <t>Base</t>
  </si>
  <si>
    <t>Key</t>
  </si>
  <si>
    <t>Scenario driver</t>
  </si>
  <si>
    <t>Unit</t>
  </si>
  <si>
    <t>Conservative</t>
  </si>
  <si>
    <t>Optimistic</t>
  </si>
  <si>
    <t>Custom</t>
  </si>
  <si>
    <t>Active</t>
  </si>
  <si>
    <t>demand_mult</t>
  </si>
  <si>
    <t>Demand multiplier (bikes &amp; accessories)</t>
  </si>
  <si>
    <t>x</t>
  </si>
  <si>
    <t>price_change</t>
  </si>
  <si>
    <t>List-price change</t>
  </si>
  <si>
    <t>%</t>
  </si>
  <si>
    <t>elasticity</t>
  </si>
  <si>
    <t>Price elasticity of bike units</t>
  </si>
  <si>
    <t>discount_delta</t>
  </si>
  <si>
    <t>Change in bike discount rate</t>
  </si>
  <si>
    <t>pts</t>
  </si>
  <si>
    <t>margin_pts</t>
  </si>
  <si>
    <t>Merchandise gross-margin improvement</t>
  </si>
  <si>
    <t>supplier_cost</t>
  </si>
  <si>
    <t>Supplier / inventory cost change</t>
  </si>
  <si>
    <t>service_mult</t>
  </si>
  <si>
    <t>Service revenue multiplier</t>
  </si>
  <si>
    <t>dpo_delta</t>
  </si>
  <si>
    <t>Change in supplier payment days</t>
  </si>
  <si>
    <t>days</t>
  </si>
  <si>
    <t>rate_delta</t>
  </si>
  <si>
    <t>Change in prime rate</t>
  </si>
  <si>
    <t>cover_mult</t>
  </si>
  <si>
    <t>Inventory cover policy multiplier</t>
  </si>
  <si>
    <t>Scenario notes</t>
  </si>
  <si>
    <t>Demand -8%, supplier costs +3% (CAD/USD, tariffs), +1 pt discounting, service -3%, suppliers tighten terms by 5 days, prime +50 bps, slower sell-through (+5% cover).</t>
  </si>
  <si>
    <t>Model 1 (Prophet) volumes, TTM prices/discounts/costs, current staffing and lease schedule, current working-capital ratios, prime flat at 4.45%.</t>
  </si>
  <si>
    <t>Demand +6%, +2% list price, -1 pt discounting, +1 pt merchandise margin, service +10%, +5 supplier days, prime -25 bps, leaner inventory (-10% cover).</t>
  </si>
  <si>
    <t>Calibrated / policy parameter (TTM Oct-2025 to Sep-2026 unless stated)</t>
  </si>
  <si>
    <t>Value</t>
  </si>
  <si>
    <t>asp_list</t>
  </si>
  <si>
    <t>Average e-bike list price (TTM)</t>
  </si>
  <si>
    <t>d_b</t>
  </si>
  <si>
    <t>Bike discount rate (TTM)</t>
  </si>
  <si>
    <t>r_b</t>
  </si>
  <si>
    <t>Bike return rate (TTM, % of net)</t>
  </si>
  <si>
    <t>d_a</t>
  </si>
  <si>
    <t>Accessory discount rate (TTM)</t>
  </si>
  <si>
    <t>r_a</t>
  </si>
  <si>
    <t>Accessory return rate (TTM)</t>
  </si>
  <si>
    <t>uc_bike</t>
  </si>
  <si>
    <t>Average e-bike unit cost (TTM)</t>
  </si>
  <si>
    <t>c_a</t>
  </si>
  <si>
    <t>Accessory COGS ratio (TTM)</t>
  </si>
  <si>
    <t>shrink_rate</t>
  </si>
  <si>
    <t>Shrinkage &amp; write-offs, % of merchandise COGS</t>
  </si>
  <si>
    <t>parts_ratio</t>
  </si>
  <si>
    <t>Service parts cost, % of service revenue</t>
  </si>
  <si>
    <t>labour_ratio</t>
  </si>
  <si>
    <t>Direct service labour, % of service revenue</t>
  </si>
  <si>
    <t>comm_rate</t>
  </si>
  <si>
    <t>Sales commission on net bike revenue</t>
  </si>
  <si>
    <t>freight_rate</t>
  </si>
  <si>
    <t>Freight, % of inventory purchases</t>
  </si>
  <si>
    <t>fee_rate</t>
  </si>
  <si>
    <t>Merchant &amp; financing fees, % of net revenue</t>
  </si>
  <si>
    <t>storage_rate</t>
  </si>
  <si>
    <t>Physical carrying cost, % of avg inventory p.a.</t>
  </si>
  <si>
    <t>ar_ratio</t>
  </si>
  <si>
    <t>Receivables, months of gross (incl. GST) revenue</t>
  </si>
  <si>
    <t>wip_ratio</t>
  </si>
  <si>
    <t>Service WIP, months of service cost</t>
  </si>
  <si>
    <t>dep_ratio</t>
  </si>
  <si>
    <t>Supplier deposits, months of purchases</t>
  </si>
  <si>
    <t>dpo_base</t>
  </si>
  <si>
    <t>Supplier payment days (TTM, inventory &amp; parts)</t>
  </si>
  <si>
    <t>ap_opex_ratio</t>
  </si>
  <si>
    <t>Operating-vendor payables, months of vendor spend</t>
  </si>
  <si>
    <t>accrued_ratio</t>
  </si>
  <si>
    <t>Accrued payroll, months of payroll</t>
  </si>
  <si>
    <t>gst</t>
  </si>
  <si>
    <t>GST rate</t>
  </si>
  <si>
    <t>tax_rate</t>
  </si>
  <si>
    <t>Income-tax rate (allocated)</t>
  </si>
  <si>
    <t>prime</t>
  </si>
  <si>
    <t>Prime rate (BoC policy 2.25% + 2.20%)</t>
  </si>
  <si>
    <t>term_spread</t>
  </si>
  <si>
    <t>Term-loan spread over prime</t>
  </si>
  <si>
    <t>rev_spread</t>
  </si>
  <si>
    <t>Revolver spread over prime</t>
  </si>
  <si>
    <t>rev_limit</t>
  </si>
  <si>
    <t>Revolver limit</t>
  </si>
  <si>
    <t>min_cash</t>
  </si>
  <si>
    <t>Minimum month-end cash</t>
  </si>
  <si>
    <t>target_cash</t>
  </si>
  <si>
    <t>Target cash after a draw</t>
  </si>
  <si>
    <t>repay_above</t>
  </si>
  <si>
    <t>Repay revolver when cash above</t>
  </si>
  <si>
    <t>step</t>
  </si>
  <si>
    <t>Revolver draw/repay increment</t>
  </si>
  <si>
    <t>dist_trigger</t>
  </si>
  <si>
    <t>Year-end distribution trigger (cash above)</t>
  </si>
  <si>
    <t>dist_floor</t>
  </si>
  <si>
    <t>Cash retained after distribution</t>
  </si>
  <si>
    <t>term_pmt</t>
  </si>
  <si>
    <t>Term-loan principal instalment</t>
  </si>
  <si>
    <t>new_capex_life</t>
  </si>
  <si>
    <t>Useful life of new capex (months)</t>
  </si>
  <si>
    <t>corp_alloc</t>
  </si>
  <si>
    <t>Corporate shared-services allocation / month</t>
  </si>
  <si>
    <t>Monthly drivers (inputs) - base volumes from Model 1, staffing plan, lease, marketing plan, capex plan, inventory policy</t>
  </si>
  <si>
    <t>Edit any blue cell; the forecast recalculates. Column C = actual 30-Sep-2026 position (not used by drivers).</t>
  </si>
  <si>
    <t>Line</t>
  </si>
  <si>
    <t>Sep-2026 actual</t>
  </si>
  <si>
    <t>Oct-2026</t>
  </si>
  <si>
    <t>Nov-2026</t>
  </si>
  <si>
    <t>Dec-2026</t>
  </si>
  <si>
    <t>Jan-2027</t>
  </si>
  <si>
    <t>Feb-2027</t>
  </si>
  <si>
    <t>Mar-2027</t>
  </si>
  <si>
    <t>Apr-2027</t>
  </si>
  <si>
    <t>May-2027</t>
  </si>
  <si>
    <t>Jun-2027</t>
  </si>
  <si>
    <t>Jul-2027</t>
  </si>
  <si>
    <t>Aug-2027</t>
  </si>
  <si>
    <t>Sep-2027</t>
  </si>
  <si>
    <t>12-month total</t>
  </si>
  <si>
    <t>units_base</t>
  </si>
  <si>
    <t>E-bike units - Model 1 Prophet base forecast</t>
  </si>
  <si>
    <t>acc_net_base</t>
  </si>
  <si>
    <t>Net accessories &amp; parts revenue - Model 1 base (retail less bikes)</t>
  </si>
  <si>
    <t>svc_base</t>
  </si>
  <si>
    <t>Service revenue - Model 1 Prophet base forecast</t>
  </si>
  <si>
    <t>staff_payroll</t>
  </si>
  <si>
    <t>Sales, management &amp; admin payroll (excl. commission) - staffing plan</t>
  </si>
  <si>
    <t>tech_payroll</t>
  </si>
  <si>
    <t>Technician payroll capacity - staffing plan</t>
  </si>
  <si>
    <t>rent_d</t>
  </si>
  <si>
    <t>Rent - lease schedule (3% escalation each January)</t>
  </si>
  <si>
    <t>utilities_d</t>
  </si>
  <si>
    <t>Utilities - seasonal TTM +2.5%</t>
  </si>
  <si>
    <t>marketing_d</t>
  </si>
  <si>
    <t>Marketing plan - seasonal TTM +6%</t>
  </si>
  <si>
    <t>insurance_exp</t>
  </si>
  <si>
    <t>Insurance expense - policy schedule</t>
  </si>
  <si>
    <t>insurance_premium</t>
  </si>
  <si>
    <t>Insurance premium paid (January)</t>
  </si>
  <si>
    <t>admin_local</t>
  </si>
  <si>
    <t>Local administrative costs</t>
  </si>
  <si>
    <t>capex_d</t>
  </si>
  <si>
    <t>Capital expenditure plan</t>
  </si>
  <si>
    <t>da_existing</t>
  </si>
  <si>
    <t>Depreciation - existing asset register</t>
  </si>
  <si>
    <t>cover_k</t>
  </si>
  <si>
    <t>Inventory policy: months of forward cover (seasonal, from history)</t>
  </si>
  <si>
    <t>is_jan</t>
  </si>
  <si>
    <t>Flag: January</t>
  </si>
  <si>
    <t>is_feb</t>
  </si>
  <si>
    <t>Flag: February</t>
  </si>
  <si>
    <t>is_dec</t>
  </si>
  <si>
    <t>Flag: December</t>
  </si>
  <si>
    <t>q_start</t>
  </si>
  <si>
    <t>Flag: first month of quarter</t>
  </si>
  <si>
    <t>Integrated 12-month forecast Oct-2026 to Sep-2027 (FORECAST - not historical fact)</t>
  </si>
  <si>
    <t>Every cell in columns D:O is a formula driven by Assumptions (active scenario) and Drivers. Column C links to the historical ledger.</t>
  </si>
  <si>
    <t>INCOME STATEMENT (forecast)</t>
  </si>
  <si>
    <t>bike_rev</t>
  </si>
  <si>
    <t>Bicycle sales revenue</t>
  </si>
  <si>
    <t>acc_rev</t>
  </si>
  <si>
    <t>Accessories and parts revenue</t>
  </si>
  <si>
    <t>svc_rev</t>
  </si>
  <si>
    <t>Maintenance and repair revenue</t>
  </si>
  <si>
    <t>gross_rev</t>
  </si>
  <si>
    <t>Gross revenue</t>
  </si>
  <si>
    <t>discounts</t>
  </si>
  <si>
    <t>Sales discounts &amp; promotional allowances</t>
  </si>
  <si>
    <t>returns</t>
  </si>
  <si>
    <t>Sales returns &amp; refunds</t>
  </si>
  <si>
    <t>returns_allow</t>
  </si>
  <si>
    <t>Sales returns and allowances</t>
  </si>
  <si>
    <t>net_rev</t>
  </si>
  <si>
    <t>Net revenue</t>
  </si>
  <si>
    <t>cogs_bike</t>
  </si>
  <si>
    <t>Cost of goods sold - e-bikes</t>
  </si>
  <si>
    <t>cogs_acc</t>
  </si>
  <si>
    <t>Cost of goods sold - accessories, batteries &amp; parts</t>
  </si>
  <si>
    <t>shrink</t>
  </si>
  <si>
    <t>Inventory shrinkage &amp; write-offs</t>
  </si>
  <si>
    <t>svc_parts</t>
  </si>
  <si>
    <t>Service parts cost</t>
  </si>
  <si>
    <t>svc_labour</t>
  </si>
  <si>
    <t>Direct service labour</t>
  </si>
  <si>
    <t>cogs</t>
  </si>
  <si>
    <t>Cost of goods sold (total cost of sales)</t>
  </si>
  <si>
    <t>gross_profit</t>
  </si>
  <si>
    <t>Gross profit</t>
  </si>
  <si>
    <t>emp_comp</t>
  </si>
  <si>
    <t>Employee compensation</t>
  </si>
  <si>
    <t>rent</t>
  </si>
  <si>
    <t>Rent and occupancy</t>
  </si>
  <si>
    <t>utilities</t>
  </si>
  <si>
    <t>Utilities</t>
  </si>
  <si>
    <t>marketing</t>
  </si>
  <si>
    <t>Marketing and advertising</t>
  </si>
  <si>
    <t>admin</t>
  </si>
  <si>
    <t>Administrative expenses (incl. insurance &amp; corporate allocation)</t>
  </si>
  <si>
    <t>freight</t>
  </si>
  <si>
    <t>Freight and logistics</t>
  </si>
  <si>
    <t>fees</t>
  </si>
  <si>
    <t>Merchant and financing fees</t>
  </si>
  <si>
    <t>storage</t>
  </si>
  <si>
    <t>Inventory storage, handling &amp; obsolescence</t>
  </si>
  <si>
    <t>opex</t>
  </si>
  <si>
    <t>Total operating expenses (before D&amp;A)</t>
  </si>
  <si>
    <t>ebitda</t>
  </si>
  <si>
    <t>EBITDA</t>
  </si>
  <si>
    <t>da</t>
  </si>
  <si>
    <t>Depreciation and amortization</t>
  </si>
  <si>
    <t>ebit</t>
  </si>
  <si>
    <t>EBIT (operating profit)</t>
  </si>
  <si>
    <t>interest</t>
  </si>
  <si>
    <t>Interest expense</t>
  </si>
  <si>
    <t>pbt</t>
  </si>
  <si>
    <t>Profit before tax</t>
  </si>
  <si>
    <t>tax</t>
  </si>
  <si>
    <t>Income taxes</t>
  </si>
  <si>
    <t>net_income</t>
  </si>
  <si>
    <t>Net income</t>
  </si>
  <si>
    <t>BALANCE SHEET (forecast; column C = actual 30-Sep-2026 from the general ledger)</t>
  </si>
  <si>
    <t>cash</t>
  </si>
  <si>
    <t>Cash and cash equivalents</t>
  </si>
  <si>
    <t>ar</t>
  </si>
  <si>
    <t>Accounts receivable</t>
  </si>
  <si>
    <t>inventory</t>
  </si>
  <si>
    <t>Inventory (merchandise at cost)</t>
  </si>
  <si>
    <t>wip</t>
  </si>
  <si>
    <t>Service work in progress</t>
  </si>
  <si>
    <t>prepaid</t>
  </si>
  <si>
    <t>Prepaid expenses &amp; supplier deposits</t>
  </si>
  <si>
    <t>gst_rec</t>
  </si>
  <si>
    <t>Sales tax recoverable</t>
  </si>
  <si>
    <t>current_assets</t>
  </si>
  <si>
    <t>Total current assets</t>
  </si>
  <si>
    <t>ppe_gross</t>
  </si>
  <si>
    <t>Property, plant and equipment (cost)</t>
  </si>
  <si>
    <t>acc_dep</t>
  </si>
  <si>
    <t>Accumulated depreciation</t>
  </si>
  <si>
    <t>ppe_net</t>
  </si>
  <si>
    <t>Net property, plant and equipment</t>
  </si>
  <si>
    <t>total_assets</t>
  </si>
  <si>
    <t>TOTAL ASSETS</t>
  </si>
  <si>
    <t>ap</t>
  </si>
  <si>
    <t>Accounts payable</t>
  </si>
  <si>
    <t>accrued</t>
  </si>
  <si>
    <t>Accrued expenses (payroll &amp; head office)</t>
  </si>
  <si>
    <t>tax_payable</t>
  </si>
  <si>
    <t>Income taxes payable</t>
  </si>
  <si>
    <t>gst_pay</t>
  </si>
  <si>
    <t>Sales tax payable</t>
  </si>
  <si>
    <t>revolver</t>
  </si>
  <si>
    <t>Short-term borrowings - revolving line of credit</t>
  </si>
  <si>
    <t>term_current</t>
  </si>
  <si>
    <t>Current portion of long-term debt</t>
  </si>
  <si>
    <t>current_liabilities</t>
  </si>
  <si>
    <t>Total current liabilities</t>
  </si>
  <si>
    <t>term_lt</t>
  </si>
  <si>
    <t>Long-term debt (non-current portion)</t>
  </si>
  <si>
    <t>total_liabilities</t>
  </si>
  <si>
    <t>TOTAL LIABILITIES</t>
  </si>
  <si>
    <t>equity_cap</t>
  </si>
  <si>
    <t>Share capital / allocated corporate equity</t>
  </si>
  <si>
    <t>retained</t>
  </si>
  <si>
    <t>Retained earnings</t>
  </si>
  <si>
    <t>cpe</t>
  </si>
  <si>
    <t>Current period earnings</t>
  </si>
  <si>
    <t>total_equity</t>
  </si>
  <si>
    <t>TOTAL EQUITY</t>
  </si>
  <si>
    <t>total_le</t>
  </si>
  <si>
    <t>TOTAL LIABILITIES AND EQUITY</t>
  </si>
  <si>
    <t>CASH FLOW STATEMENT (indirect method)</t>
  </si>
  <si>
    <t>cf_ni</t>
  </si>
  <si>
    <t>cf_da</t>
  </si>
  <si>
    <t>d_ar</t>
  </si>
  <si>
    <t>(Increase) decrease in accounts receivable</t>
  </si>
  <si>
    <t>d_inv</t>
  </si>
  <si>
    <t>(Increase) decrease in inventory</t>
  </si>
  <si>
    <t>d_ap</t>
  </si>
  <si>
    <t>Increase (decrease) in accounts payable</t>
  </si>
  <si>
    <t>other_wc</t>
  </si>
  <si>
    <t>Other working capital adjustments</t>
  </si>
  <si>
    <t>cfo</t>
  </si>
  <si>
    <t>Net cash from operating activities</t>
  </si>
  <si>
    <t>cfi</t>
  </si>
  <si>
    <t>Net cash used in investing activities (capex)</t>
  </si>
  <si>
    <t>term_repay</t>
  </si>
  <si>
    <t>Term loan repayments</t>
  </si>
  <si>
    <t>rev_draw</t>
  </si>
  <si>
    <t>New borrowings - revolving line of credit</t>
  </si>
  <si>
    <t>rev_repay</t>
  </si>
  <si>
    <t>Repayments - revolving line of credit</t>
  </si>
  <si>
    <t>contrib</t>
  </si>
  <si>
    <t>Capital contributions from head office (financing requirement)</t>
  </si>
  <si>
    <t>dist</t>
  </si>
  <si>
    <t>Distributions to head office</t>
  </si>
  <si>
    <t>cff</t>
  </si>
  <si>
    <t>Net cash from (used in) financing activities</t>
  </si>
  <si>
    <t>net_change</t>
  </si>
  <si>
    <t>Net change in cash</t>
  </si>
  <si>
    <t>CHECKS</t>
  </si>
  <si>
    <t>check_bs</t>
  </si>
  <si>
    <t>Check: assets - liabilities - equity (must be 0)</t>
  </si>
  <si>
    <t>check_cash</t>
  </si>
  <si>
    <t>Check: CF closing cash - BS cash (must be 0)</t>
  </si>
  <si>
    <t>SUPPORTING SCHEDULES - revenue &amp; cost build</t>
  </si>
  <si>
    <t>units</t>
  </si>
  <si>
    <t>E-bike units sold (net of returns)</t>
  </si>
  <si>
    <t>asp</t>
  </si>
  <si>
    <t>Average e-bike list price</t>
  </si>
  <si>
    <t>disc_rate</t>
  </si>
  <si>
    <t>Bike discount rate</t>
  </si>
  <si>
    <t>bike_net</t>
  </si>
  <si>
    <t>Net e-bike revenue (after discounts &amp; returns)</t>
  </si>
  <si>
    <t>acc_net</t>
  </si>
  <si>
    <t>Net accessories &amp; parts revenue</t>
  </si>
  <si>
    <t>merch_cogs</t>
  </si>
  <si>
    <t>Merchandise COGS (memo)</t>
  </si>
  <si>
    <t>commission</t>
  </si>
  <si>
    <t>Sales commission (memo)</t>
  </si>
  <si>
    <t>SUPPORTING SCHEDULES - inventory investment</t>
  </si>
  <si>
    <t>inv_target</t>
  </si>
  <si>
    <t>Inventory target (cover x avg next-2-month merchandise COGS)</t>
  </si>
  <si>
    <t>purchases</t>
  </si>
  <si>
    <t>Inventory purchases at cost</t>
  </si>
  <si>
    <t>SUPPORTING SCHEDULES - working capital</t>
  </si>
  <si>
    <t>prepaid_ins</t>
  </si>
  <si>
    <t>Prepaid insurance (memo)</t>
  </si>
  <si>
    <t>deposits</t>
  </si>
  <si>
    <t>Supplier deposits (memo)</t>
  </si>
  <si>
    <t>gst_net</t>
  </si>
  <si>
    <t>Net GST payable / (recoverable) (memo)</t>
  </si>
  <si>
    <t>gst_remit</t>
  </si>
  <si>
    <t>GST remitted for prior quarter (memo)</t>
  </si>
  <si>
    <t>ap_trade</t>
  </si>
  <si>
    <t>Trade payables - inventory &amp; parts (memo)</t>
  </si>
  <si>
    <t>ap_opex</t>
  </si>
  <si>
    <t>Operating-vendor payables (memo)</t>
  </si>
  <si>
    <t>accrued_pay</t>
  </si>
  <si>
    <t>Accrued payroll (memo)</t>
  </si>
  <si>
    <t>due_ho</t>
  </si>
  <si>
    <t>Due to head office (memo)</t>
  </si>
  <si>
    <t>SUPPORTING SCHEDULES - financing</t>
  </si>
  <si>
    <t>pre_cash</t>
  </si>
  <si>
    <t>Cash before revolver (memo)</t>
  </si>
  <si>
    <t>term_loan</t>
  </si>
  <si>
    <t>Term loan balance (memo)</t>
  </si>
  <si>
    <t>SUPPORTING SCHEDULES - tax &amp; fixed assets</t>
  </si>
  <si>
    <t>ytd_pbt</t>
  </si>
  <si>
    <t>Fiscal YTD profit before tax (memo)</t>
  </si>
  <si>
    <t>lcf</t>
  </si>
  <si>
    <t>Loss carry-forward available at 1 January (memo)</t>
  </si>
  <si>
    <t>tax_ytd</t>
  </si>
  <si>
    <t>Fiscal YTD income tax (memo)</t>
  </si>
  <si>
    <t>prior_tax</t>
  </si>
  <si>
    <t>Prior-year tax awaiting payment (memo)</t>
  </si>
  <si>
    <t>tax_paid</t>
  </si>
  <si>
    <t>Income tax paid (memo)</t>
  </si>
  <si>
    <t>capex_cum</t>
  </si>
  <si>
    <t>Cumulative new capex (memo)</t>
  </si>
  <si>
    <t>Scenario comparison and sensitivity analysis (values computed by the Python engine at build time)</t>
  </si>
  <si>
    <t>The Forecast sheet recalculates live for the scenario selected on Assumptions; this sheet stores all three for comparison.</t>
  </si>
  <si>
    <t>net_revenue</t>
  </si>
  <si>
    <t>gross_margin_pct</t>
  </si>
  <si>
    <t>net_margin_pct</t>
  </si>
  <si>
    <t>closing_cash</t>
  </si>
  <si>
    <t>peak_revolver</t>
  </si>
  <si>
    <t>contributions_required</t>
  </si>
  <si>
    <t>financing_requirement</t>
  </si>
  <si>
    <t>peak_inventory</t>
  </si>
  <si>
    <t>avg_inventory</t>
  </si>
  <si>
    <t>inventory_purchases</t>
  </si>
  <si>
    <t>bike_units</t>
  </si>
  <si>
    <t>max_abs_bs_check</t>
  </si>
  <si>
    <t>max_abs_cash_check</t>
  </si>
  <si>
    <t>Sensitivity analysis (one driver at a time vs Base)</t>
  </si>
  <si>
    <t>driver</t>
  </si>
  <si>
    <t>case</t>
  </si>
  <si>
    <t>value</t>
  </si>
  <si>
    <t>delta_net_income</t>
  </si>
  <si>
    <t>delta_closing_cash</t>
  </si>
  <si>
    <t>delta_financing_requirement</t>
  </si>
  <si>
    <t>Product demand (-/+10%)</t>
  </si>
  <si>
    <t>downside</t>
  </si>
  <si>
    <t>upside</t>
  </si>
  <si>
    <t>Merchandise gross margin (-/+2 pts)</t>
  </si>
  <si>
    <t>Inventory / supplier costs (+/-5%)</t>
  </si>
  <si>
    <t>Supplier payment terms (-/+10 days)</t>
  </si>
  <si>
    <t>Interest rates (+/-100 bps)</t>
  </si>
  <si>
    <t>Service revenue (-/+15%)</t>
  </si>
  <si>
    <t>LIVE: active scenario (formulas on the Forecast sheet)</t>
  </si>
  <si>
    <t>Closing cash Sep-2027</t>
  </si>
  <si>
    <t>Peak revolver</t>
  </si>
  <si>
    <t>Head-office contributions required</t>
  </si>
  <si>
    <t>Max |balance-sheet check|</t>
  </si>
  <si>
    <t>Model integrity checks (live formulas - every value must be 0 / TRUE)</t>
  </si>
  <si>
    <t>Check</t>
  </si>
  <si>
    <t>Pass?</t>
  </si>
  <si>
    <t>Trial balance: max |sum of account balances| (Dec-2023 to Sep-2026)</t>
  </si>
  <si>
    <t>Historical balance sheet: max |assets - liabilities - equity|</t>
  </si>
  <si>
    <t>Historical cash flow: max |closing cash - balance-sheet cash|</t>
  </si>
  <si>
    <t>Forecast balance sheet: max |assets - liabilities - equity|</t>
  </si>
  <si>
    <t>Forecast cash flow: max |closing cash - balance-sheet cash|</t>
  </si>
  <si>
    <t>Forecast opening cash = historical closing cash (Sep-2026)</t>
  </si>
  <si>
    <t>ALL CHECKS PASS</t>
  </si>
  <si>
    <t>Historical income statements - illustrative Calgary management accounts (CAD)</t>
  </si>
  <si>
    <t>Monthly values from the general ledger; subtotal rows are live formulas. FY columns sum the months.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</si>
  <si>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</si>
  <si>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</si>
  <si>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</si>
  <si>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</si>
  <si>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</si>
  <si>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</si>
  <si>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</si>
  <si>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</si>
  <si>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</si>
  <si>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</si>
  <si>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</si>
  <si>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</si>
  <si>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</si>
  <si>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</si>
  <si>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</si>
  <si>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</si>
  <si>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</si>
  <si>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</si>
  <si>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</si>
  <si>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</si>
  <si>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</si>
  <si>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</si>
  <si>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</si>
  <si>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</si>
  <si>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</si>
  <si>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</si>
  <si>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</si>
  <si>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</si>
  <si>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</si>
  <si>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</si>
  <si>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</si>
  <si>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</si>
  <si>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</si>
  <si>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FY2024</t>
  </si>
  <si>
    <t>FY2025</t>
  </si>
  <si>
    <t>YTD Sep-2026</t>
  </si>
  <si>
    <t>Historical balance sheets - month end (CAD)</t>
  </si>
  <si>
    <t>Check: assets - liabilities - equity</t>
  </si>
  <si>
    <t>check</t>
  </si>
  <si>
    <t>Historical cash flow statements - indirect method (CAD)</t>
  </si>
  <si>
    <t xml:space="preserve">  Service work in progress</t>
  </si>
  <si>
    <t>d_wip</t>
  </si>
  <si>
    <t xml:space="preserve">  Prepaid expenses &amp; supplier deposits</t>
  </si>
  <si>
    <t>d_prepaid</t>
  </si>
  <si>
    <t xml:space="preserve">  Accrued payroll &amp; due to head office</t>
  </si>
  <si>
    <t>d_accrued</t>
  </si>
  <si>
    <t xml:space="preserve">  Sales tax payable / recoverable</t>
  </si>
  <si>
    <t>d_gst</t>
  </si>
  <si>
    <t xml:space="preserve">  Income taxes payable</t>
  </si>
  <si>
    <t>d_tax</t>
  </si>
  <si>
    <t>Capital expenditures (leasehold &amp; systems)</t>
  </si>
  <si>
    <t>capex</t>
  </si>
  <si>
    <t>Equipment purchases</t>
  </si>
  <si>
    <t>equipment</t>
  </si>
  <si>
    <t>Net cash used in investing activities</t>
  </si>
  <si>
    <t>Capital contributions from head office</t>
  </si>
  <si>
    <t>Opening cash</t>
  </si>
  <si>
    <t>open_cash</t>
  </si>
  <si>
    <t>Closing cash (cash flow statement)</t>
  </si>
  <si>
    <t>close_cash</t>
  </si>
  <si>
    <t>Cash per balance sheet</t>
  </si>
  <si>
    <t>bs_cash</t>
  </si>
  <si>
    <t>Check: closing cash - balance-sheet cash</t>
  </si>
  <si>
    <t>Month-end account balances from the general ledger (debit +, credit -)</t>
  </si>
  <si>
    <t>Post-closing at year ends. Each column must sum to zero (trial balance).</t>
  </si>
  <si>
    <t>Account</t>
  </si>
  <si>
    <t>Name</t>
  </si>
  <si>
    <t>2023-12</t>
  </si>
  <si>
    <t>1000</t>
  </si>
  <si>
    <t>Cash - operating bank account</t>
  </si>
  <si>
    <t>1100</t>
  </si>
  <si>
    <t>Card &amp; debit processor settlements receivable</t>
  </si>
  <si>
    <t>1110</t>
  </si>
  <si>
    <t>Consumer-financing partner receivable</t>
  </si>
  <si>
    <t>1120</t>
  </si>
  <si>
    <t>Trade receivables - business/fleet accounts</t>
  </si>
  <si>
    <t>1130</t>
  </si>
  <si>
    <t>Manufacturer warranty claims receivable</t>
  </si>
  <si>
    <t>1200</t>
  </si>
  <si>
    <t>Merchandise inventory (standard cost)</t>
  </si>
  <si>
    <t>1250</t>
  </si>
  <si>
    <t>1300</t>
  </si>
  <si>
    <t>Prepaid insurance</t>
  </si>
  <si>
    <t>1310</t>
  </si>
  <si>
    <t>Supplier deposits on open purchase orders</t>
  </si>
  <si>
    <t>1400</t>
  </si>
  <si>
    <t>GST input tax credits (ITCs)</t>
  </si>
  <si>
    <t>1500</t>
  </si>
  <si>
    <t>Leasehold improvements</t>
  </si>
  <si>
    <t>1510</t>
  </si>
  <si>
    <t>Workshop equipment &amp; racking</t>
  </si>
  <si>
    <t>1520</t>
  </si>
  <si>
    <t>POS, IT &amp; furniture</t>
  </si>
  <si>
    <t>1590</t>
  </si>
  <si>
    <t>2000</t>
  </si>
  <si>
    <t>Accounts payable - inventory &amp; parts suppliers</t>
  </si>
  <si>
    <t>2010</t>
  </si>
  <si>
    <t>Accounts payable - operating vendors</t>
  </si>
  <si>
    <t>2100</t>
  </si>
  <si>
    <t>Accrued payroll, commissions &amp; source deductions</t>
  </si>
  <si>
    <t>2300</t>
  </si>
  <si>
    <t>GST collected</t>
  </si>
  <si>
    <t>2400</t>
  </si>
  <si>
    <t>Income tax payable (allocated)</t>
  </si>
  <si>
    <t>2500</t>
  </si>
  <si>
    <t>Due to head office - shared services</t>
  </si>
  <si>
    <t>2600</t>
  </si>
  <si>
    <t>Revolving inventory line of credit</t>
  </si>
  <si>
    <t>2700</t>
  </si>
  <si>
    <t>Term loan (allocated corporate debt)</t>
  </si>
  <si>
    <t>3000</t>
  </si>
  <si>
    <t>Allocated corporate equity (head-office investment)</t>
  </si>
  <si>
    <t>3200</t>
  </si>
  <si>
    <t>3300</t>
  </si>
  <si>
    <t>4000</t>
  </si>
  <si>
    <t>Bicycle sales</t>
  </si>
  <si>
    <t>4100</t>
  </si>
  <si>
    <t>Accessories sales</t>
  </si>
  <si>
    <t>4110</t>
  </si>
  <si>
    <t>Batteries &amp; chargers sales</t>
  </si>
  <si>
    <t>4120</t>
  </si>
  <si>
    <t>Parts sales (retail)</t>
  </si>
  <si>
    <t>4200</t>
  </si>
  <si>
    <t>Service labour revenue</t>
  </si>
  <si>
    <t>4210</t>
  </si>
  <si>
    <t>Service parts revenue</t>
  </si>
  <si>
    <t>4220</t>
  </si>
  <si>
    <t>Warranty labour reimbursements</t>
  </si>
  <si>
    <t>4900</t>
  </si>
  <si>
    <t>4910</t>
  </si>
  <si>
    <t>5000</t>
  </si>
  <si>
    <t>5010</t>
  </si>
  <si>
    <t>5100</t>
  </si>
  <si>
    <t>Inventory shrinkage &amp; damaged write-offs</t>
  </si>
  <si>
    <t>5200</t>
  </si>
  <si>
    <t>5210</t>
  </si>
  <si>
    <t>6000</t>
  </si>
  <si>
    <t>Wages - sales, management &amp; admin (incl. commission)</t>
  </si>
  <si>
    <t>6010</t>
  </si>
  <si>
    <t>Technician unapplied &amp; assembly time</t>
  </si>
  <si>
    <t>6100</t>
  </si>
  <si>
    <t>Rent</t>
  </si>
  <si>
    <t>6110</t>
  </si>
  <si>
    <t>6200</t>
  </si>
  <si>
    <t>Advertising &amp; marketing</t>
  </si>
  <si>
    <t>6300</t>
  </si>
  <si>
    <t>Insurance</t>
  </si>
  <si>
    <t>6310</t>
  </si>
  <si>
    <t>Administrative - local</t>
  </si>
  <si>
    <t>6320</t>
  </si>
  <si>
    <t>Corporate shared-services allocation</t>
  </si>
  <si>
    <t>6400</t>
  </si>
  <si>
    <t>Freight &amp; logistics</t>
  </si>
  <si>
    <t>6410</t>
  </si>
  <si>
    <t>Merchant, financing-partner &amp; sundry fees</t>
  </si>
  <si>
    <t>6420</t>
  </si>
  <si>
    <t>6900</t>
  </si>
  <si>
    <t>Depreciation</t>
  </si>
  <si>
    <t>7000</t>
  </si>
  <si>
    <t>Interest - term loan</t>
  </si>
  <si>
    <t>7010</t>
  </si>
  <si>
    <t>Interest - revolving line of credit</t>
  </si>
  <si>
    <t>8000</t>
  </si>
  <si>
    <t>Income tax expense (allocated)</t>
  </si>
  <si>
    <t>Check: sum of balances (must be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</si>
</sst>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;\(#,##0\);&quot;-&quot;"/>
    <numFmt numFmtId="166" formatCode="0.0000"/>
    <numFmt numFmtId="167" formatCode="0.0"/>
    <numFmt numFmtId="168" formatCode="#,##0.00;\(#,##0.00\);&quot;-&quot;"/>
  </numFmts>
  <fonts count="11" x14ac:knownFonts="1">
    <font>
      <sz val="11"/>
      <color theme="1"/>
      <name val="Calibri"/>
      <family val="2"/>
      <scheme val="minor"/>
    </font>
    <font>
      <b/>
      <sz val="11"/>
      <color rgb="FF7A4A00"/>
      <name val="Calibri"/>
      <family val="2"/>
    </font>
    <font>
      <b/>
      <sz val="14"/>
      <color rgb="FF184F95"/>
      <name val="Calibri"/>
      <family val="2"/>
    </font>
    <font>
      <i/>
      <sz val="11"/>
      <color rgb="FF52514E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"/>
      <color rgb="FF898781"/>
      <name val="Calibri"/>
      <family val="2"/>
    </font>
    <font>
      <b/>
      <sz val="12"/>
      <color rgb="FF0000FF"/>
      <name val="Calibri"/>
      <family val="2"/>
    </font>
    <font>
      <sz val="11"/>
      <color rgb="FF0000FF"/>
      <name val="Calibri"/>
      <family val="2"/>
    </font>
    <font>
      <b/>
      <sz val="11"/>
      <color rgb="FF184F95"/>
      <name val="Calibri"/>
      <family val="2"/>
    </font>
    <font>
      <b/>
      <sz val="11"/>
      <color rgb="FF184F9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4E5"/>
      </patternFill>
    </fill>
    <fill>
      <patternFill patternType="solid">
        <fgColor rgb="FF0B1120"/>
      </patternFill>
    </fill>
    <fill>
      <patternFill patternType="solid">
        <fgColor rgb="FFEAF2FC"/>
      </patternFill>
    </fill>
    <fill>
      <patternFill patternType="solid">
        <fgColor rgb="FFFFF8D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10" fillId="0" borderId="0" xfId="0" applyFont="1"/>
    <xf numFmtId="0" fontId="5" fillId="0" borderId="0" xfId="0" applyFont="1"/>
    <xf numFmtId="0" fontId="7" fillId="5" borderId="0" xfId="0" applyFont="1" applyFill="1"/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center" wrapText="1"/>
    </xf>
    <xf numFmtId="0" fontId="6" fillId="0" borderId="0" xfId="0" applyFont="1"/>
    <xf numFmtId="164" fontId="8" fillId="5" borderId="0" xfId="0" applyNumberFormat="1" applyFont="1" applyFill="1"/>
    <xf numFmtId="164" fontId="0" fillId="0" borderId="0" xfId="0" applyNumberFormat="1"/>
    <xf numFmtId="165" fontId="8" fillId="5" borderId="0" xfId="0" applyNumberFormat="1" applyFont="1" applyFill="1"/>
    <xf numFmtId="166" fontId="8" fillId="5" borderId="0" xfId="0" applyNumberFormat="1" applyFont="1" applyFill="1"/>
    <xf numFmtId="2" fontId="8" fillId="5" borderId="0" xfId="0" applyNumberFormat="1" applyFont="1" applyFill="1"/>
    <xf numFmtId="1" fontId="8" fillId="5" borderId="0" xfId="0" applyNumberFormat="1" applyFont="1" applyFill="1"/>
    <xf numFmtId="0" fontId="9" fillId="0" borderId="0" xfId="0" applyFont="1"/>
    <xf numFmtId="165" fontId="0" fillId="0" borderId="0" xfId="0" applyNumberFormat="1"/>
    <xf numFmtId="0" fontId="5" fillId="4" borderId="1" xfId="0" applyFont="1" applyFill="1" applyBorder="1"/>
    <xf numFmtId="165" fontId="5" fillId="4" borderId="1" xfId="0" applyNumberFormat="1" applyFont="1" applyFill="1" applyBorder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168" fontId="5" fillId="4" borderId="1" xfId="0" applyNumberFormat="1" applyFont="1" applyFill="1" applyBorder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8D7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sqref="A1:H1"/>
    </sheetView>
  </sheetViews>
  <sheetFormatPr baseColWidth="10" defaultColWidth="8.83203125" defaultRowHeight="15" x14ac:dyDescent="0.2"/>
  <cols>
    <col min="1" max="1" width="160" customWidth="1"/>
  </cols>
  <sheetData>
    <row r="1" spans="1:8" x14ac:dyDescent="0.2">
      <c r="A1" s="23" t="s">
        <v>0</v>
      </c>
      <c r="B1" s="24"/>
      <c r="C1" s="24"/>
      <c r="D1" s="24"/>
      <c r="E1" s="24"/>
      <c r="F1" s="24"/>
      <c r="G1" s="24"/>
      <c r="H1" s="24"/>
    </row>
    <row r="2" spans="1:8" ht="19" customHeight="1" x14ac:dyDescent="0.25">
      <c r="A2" s="1" t="s">
        <v>1</v>
      </c>
    </row>
    <row r="3" spans="1:8" x14ac:dyDescent="0.2">
      <c r="A3" s="2" t="s">
        <v>2</v>
      </c>
    </row>
    <row r="5" spans="1:8" x14ac:dyDescent="0.2">
      <c r="A5" s="3" t="s">
        <v>3</v>
      </c>
    </row>
    <row r="6" spans="1:8" x14ac:dyDescent="0.2">
      <c r="A6" t="s">
        <v>4</v>
      </c>
    </row>
    <row r="7" spans="1:8" x14ac:dyDescent="0.2">
      <c r="A7" t="s">
        <v>5</v>
      </c>
    </row>
    <row r="8" spans="1:8" x14ac:dyDescent="0.2">
      <c r="A8" t="s">
        <v>6</v>
      </c>
    </row>
    <row r="10" spans="1:8" x14ac:dyDescent="0.2">
      <c r="A10" s="3" t="s">
        <v>7</v>
      </c>
    </row>
    <row r="11" spans="1:8" x14ac:dyDescent="0.2">
      <c r="A11" t="s">
        <v>8</v>
      </c>
    </row>
    <row r="12" spans="1:8" x14ac:dyDescent="0.2">
      <c r="A12" t="s">
        <v>9</v>
      </c>
    </row>
    <row r="13" spans="1:8" x14ac:dyDescent="0.2">
      <c r="A13" t="s">
        <v>10</v>
      </c>
    </row>
    <row r="14" spans="1:8" x14ac:dyDescent="0.2">
      <c r="A14" t="s">
        <v>11</v>
      </c>
    </row>
    <row r="16" spans="1:8" x14ac:dyDescent="0.2">
      <c r="A16" s="3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1" spans="1:1" x14ac:dyDescent="0.2">
      <c r="A21" s="3" t="s">
        <v>16</v>
      </c>
    </row>
    <row r="22" spans="1:1" x14ac:dyDescent="0.2">
      <c r="A22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6" spans="1:1" x14ac:dyDescent="0.2">
      <c r="A26" t="s">
        <v>20</v>
      </c>
    </row>
    <row r="27" spans="1:1" x14ac:dyDescent="0.2">
      <c r="A27" t="s">
        <v>21</v>
      </c>
    </row>
    <row r="28" spans="1:1" x14ac:dyDescent="0.2">
      <c r="A28" t="s">
        <v>22</v>
      </c>
    </row>
    <row r="29" spans="1:1" x14ac:dyDescent="0.2">
      <c r="A29" t="s">
        <v>23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9"/>
  <sheetViews>
    <sheetView showGridLines="0" workbookViewId="0"/>
  </sheetViews>
  <sheetFormatPr baseColWidth="10" defaultColWidth="8.83203125" defaultRowHeight="15" x14ac:dyDescent="0.2"/>
  <cols>
    <col min="1" max="1" width="15" customWidth="1"/>
    <col min="2" max="2" width="58" customWidth="1"/>
    <col min="3" max="7" width="13" customWidth="1"/>
    <col min="8" max="8" width="14" customWidth="1"/>
  </cols>
  <sheetData>
    <row r="1" spans="1:9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19" customHeight="1" x14ac:dyDescent="0.25">
      <c r="A2" s="1" t="s">
        <v>24</v>
      </c>
    </row>
    <row r="3" spans="1:9" x14ac:dyDescent="0.2">
      <c r="A3" s="2" t="s">
        <v>25</v>
      </c>
    </row>
    <row r="4" spans="1:9" ht="16" customHeight="1" x14ac:dyDescent="0.2">
      <c r="B4" s="4" t="s">
        <v>26</v>
      </c>
      <c r="C4" s="5" t="s">
        <v>27</v>
      </c>
    </row>
    <row r="7" spans="1:9" ht="16" customHeight="1" x14ac:dyDescent="0.2">
      <c r="A7" s="6" t="s">
        <v>28</v>
      </c>
      <c r="B7" s="7" t="s">
        <v>29</v>
      </c>
      <c r="C7" s="7" t="s">
        <v>30</v>
      </c>
      <c r="D7" s="7" t="s">
        <v>31</v>
      </c>
      <c r="E7" s="7" t="s">
        <v>27</v>
      </c>
      <c r="F7" s="7" t="s">
        <v>32</v>
      </c>
      <c r="G7" s="7" t="s">
        <v>33</v>
      </c>
      <c r="H7" s="7" t="s">
        <v>34</v>
      </c>
    </row>
    <row r="8" spans="1:9" x14ac:dyDescent="0.2">
      <c r="A8" s="8" t="s">
        <v>35</v>
      </c>
      <c r="B8" t="s">
        <v>36</v>
      </c>
      <c r="C8" t="s">
        <v>37</v>
      </c>
      <c r="D8" s="9">
        <v>0.92</v>
      </c>
      <c r="E8" s="9">
        <v>1</v>
      </c>
      <c r="F8" s="9">
        <v>1.06</v>
      </c>
      <c r="G8" s="9">
        <v>1</v>
      </c>
      <c r="H8" s="10">
        <f t="shared" ref="H8:H17" si="0">INDEX(D8:G8,MATCH($C$4,$D$7:$G$7,0))</f>
        <v>1</v>
      </c>
    </row>
    <row r="9" spans="1:9" x14ac:dyDescent="0.2">
      <c r="A9" s="8" t="s">
        <v>38</v>
      </c>
      <c r="B9" t="s">
        <v>39</v>
      </c>
      <c r="C9" t="s">
        <v>40</v>
      </c>
      <c r="D9" s="9">
        <v>0</v>
      </c>
      <c r="E9" s="9">
        <v>0</v>
      </c>
      <c r="F9" s="9">
        <v>0.02</v>
      </c>
      <c r="G9" s="9">
        <v>0</v>
      </c>
      <c r="H9" s="10">
        <f t="shared" si="0"/>
        <v>0</v>
      </c>
    </row>
    <row r="10" spans="1:9" x14ac:dyDescent="0.2">
      <c r="A10" s="8" t="s">
        <v>41</v>
      </c>
      <c r="B10" t="s">
        <v>42</v>
      </c>
      <c r="C10" t="s">
        <v>37</v>
      </c>
      <c r="D10" s="9">
        <v>-1.2</v>
      </c>
      <c r="E10" s="9">
        <v>-1.2</v>
      </c>
      <c r="F10" s="9">
        <v>-1.2</v>
      </c>
      <c r="G10" s="9">
        <v>-1.2</v>
      </c>
      <c r="H10" s="10">
        <f t="shared" si="0"/>
        <v>-1.2</v>
      </c>
    </row>
    <row r="11" spans="1:9" x14ac:dyDescent="0.2">
      <c r="A11" s="8" t="s">
        <v>43</v>
      </c>
      <c r="B11" t="s">
        <v>44</v>
      </c>
      <c r="C11" t="s">
        <v>45</v>
      </c>
      <c r="D11" s="9">
        <v>0.01</v>
      </c>
      <c r="E11" s="9">
        <v>0</v>
      </c>
      <c r="F11" s="9">
        <v>-0.01</v>
      </c>
      <c r="G11" s="9">
        <v>0</v>
      </c>
      <c r="H11" s="10">
        <f t="shared" si="0"/>
        <v>0</v>
      </c>
    </row>
    <row r="12" spans="1:9" x14ac:dyDescent="0.2">
      <c r="A12" s="8" t="s">
        <v>46</v>
      </c>
      <c r="B12" t="s">
        <v>47</v>
      </c>
      <c r="C12" t="s">
        <v>45</v>
      </c>
      <c r="D12" s="9">
        <v>0</v>
      </c>
      <c r="E12" s="9">
        <v>0</v>
      </c>
      <c r="F12" s="9">
        <v>0.01</v>
      </c>
      <c r="G12" s="9">
        <v>0</v>
      </c>
      <c r="H12" s="10">
        <f t="shared" si="0"/>
        <v>0</v>
      </c>
    </row>
    <row r="13" spans="1:9" x14ac:dyDescent="0.2">
      <c r="A13" s="8" t="s">
        <v>48</v>
      </c>
      <c r="B13" t="s">
        <v>49</v>
      </c>
      <c r="C13" t="s">
        <v>40</v>
      </c>
      <c r="D13" s="9">
        <v>0.03</v>
      </c>
      <c r="E13" s="9">
        <v>0</v>
      </c>
      <c r="F13" s="9">
        <v>0</v>
      </c>
      <c r="G13" s="9">
        <v>0</v>
      </c>
      <c r="H13" s="10">
        <f t="shared" si="0"/>
        <v>0</v>
      </c>
    </row>
    <row r="14" spans="1:9" x14ac:dyDescent="0.2">
      <c r="A14" s="8" t="s">
        <v>50</v>
      </c>
      <c r="B14" t="s">
        <v>51</v>
      </c>
      <c r="C14" t="s">
        <v>37</v>
      </c>
      <c r="D14" s="9">
        <v>0.97</v>
      </c>
      <c r="E14" s="9">
        <v>1</v>
      </c>
      <c r="F14" s="9">
        <v>1.1000000000000001</v>
      </c>
      <c r="G14" s="9">
        <v>1</v>
      </c>
      <c r="H14" s="10">
        <f t="shared" si="0"/>
        <v>1</v>
      </c>
    </row>
    <row r="15" spans="1:9" x14ac:dyDescent="0.2">
      <c r="A15" s="8" t="s">
        <v>52</v>
      </c>
      <c r="B15" t="s">
        <v>53</v>
      </c>
      <c r="C15" t="s">
        <v>54</v>
      </c>
      <c r="D15" s="9">
        <v>-5</v>
      </c>
      <c r="E15" s="9">
        <v>0</v>
      </c>
      <c r="F15" s="9">
        <v>5</v>
      </c>
      <c r="G15" s="9">
        <v>0</v>
      </c>
      <c r="H15" s="10">
        <f t="shared" si="0"/>
        <v>0</v>
      </c>
    </row>
    <row r="16" spans="1:9" x14ac:dyDescent="0.2">
      <c r="A16" s="8" t="s">
        <v>55</v>
      </c>
      <c r="B16" t="s">
        <v>56</v>
      </c>
      <c r="C16" t="s">
        <v>40</v>
      </c>
      <c r="D16" s="9">
        <v>5.0000000000000001E-3</v>
      </c>
      <c r="E16" s="9">
        <v>0</v>
      </c>
      <c r="F16" s="9">
        <v>-2.5000000000000001E-3</v>
      </c>
      <c r="G16" s="9">
        <v>0</v>
      </c>
      <c r="H16" s="10">
        <f t="shared" si="0"/>
        <v>0</v>
      </c>
    </row>
    <row r="17" spans="1:8" x14ac:dyDescent="0.2">
      <c r="A17" s="8" t="s">
        <v>57</v>
      </c>
      <c r="B17" t="s">
        <v>58</v>
      </c>
      <c r="C17" t="s">
        <v>37</v>
      </c>
      <c r="D17" s="9">
        <v>1.05</v>
      </c>
      <c r="E17" s="9">
        <v>1</v>
      </c>
      <c r="F17" s="9">
        <v>0.9</v>
      </c>
      <c r="G17" s="9">
        <v>1</v>
      </c>
      <c r="H17" s="10">
        <f t="shared" si="0"/>
        <v>1</v>
      </c>
    </row>
    <row r="19" spans="1:8" x14ac:dyDescent="0.2">
      <c r="B19" s="4" t="s">
        <v>59</v>
      </c>
    </row>
    <row r="20" spans="1:8" x14ac:dyDescent="0.2">
      <c r="B20" s="4" t="s">
        <v>31</v>
      </c>
      <c r="C20" t="s">
        <v>60</v>
      </c>
    </row>
    <row r="21" spans="1:8" x14ac:dyDescent="0.2">
      <c r="B21" s="4" t="s">
        <v>27</v>
      </c>
      <c r="C21" t="s">
        <v>61</v>
      </c>
    </row>
    <row r="22" spans="1:8" x14ac:dyDescent="0.2">
      <c r="B22" s="4" t="s">
        <v>32</v>
      </c>
      <c r="C22" t="s">
        <v>62</v>
      </c>
    </row>
    <row r="24" spans="1:8" ht="16" customHeight="1" x14ac:dyDescent="0.2">
      <c r="A24" s="6" t="s">
        <v>28</v>
      </c>
      <c r="B24" s="7" t="s">
        <v>63</v>
      </c>
      <c r="C24" s="7"/>
      <c r="D24" s="7"/>
      <c r="E24" s="7"/>
      <c r="F24" s="7"/>
      <c r="G24" s="7"/>
      <c r="H24" s="7" t="s">
        <v>64</v>
      </c>
    </row>
    <row r="25" spans="1:8" x14ac:dyDescent="0.2">
      <c r="A25" s="8" t="s">
        <v>65</v>
      </c>
      <c r="B25" t="s">
        <v>66</v>
      </c>
      <c r="H25" s="11">
        <v>2591.889670691548</v>
      </c>
    </row>
    <row r="26" spans="1:8" x14ac:dyDescent="0.2">
      <c r="A26" s="8" t="s">
        <v>67</v>
      </c>
      <c r="B26" t="s">
        <v>68</v>
      </c>
      <c r="H26" s="12">
        <v>2.3285991209537889E-2</v>
      </c>
    </row>
    <row r="27" spans="1:8" x14ac:dyDescent="0.2">
      <c r="A27" s="8" t="s">
        <v>69</v>
      </c>
      <c r="B27" t="s">
        <v>70</v>
      </c>
      <c r="H27" s="12">
        <v>3.038959706825908E-2</v>
      </c>
    </row>
    <row r="28" spans="1:8" x14ac:dyDescent="0.2">
      <c r="A28" s="8" t="s">
        <v>71</v>
      </c>
      <c r="B28" t="s">
        <v>72</v>
      </c>
      <c r="H28" s="12">
        <v>2.107756928115101E-2</v>
      </c>
    </row>
    <row r="29" spans="1:8" x14ac:dyDescent="0.2">
      <c r="A29" s="8" t="s">
        <v>73</v>
      </c>
      <c r="B29" t="s">
        <v>74</v>
      </c>
      <c r="H29" s="12">
        <v>3.4576939067000038E-2</v>
      </c>
    </row>
    <row r="30" spans="1:8" x14ac:dyDescent="0.2">
      <c r="A30" s="8" t="s">
        <v>75</v>
      </c>
      <c r="B30" t="s">
        <v>76</v>
      </c>
      <c r="H30" s="11">
        <v>1823.282162458836</v>
      </c>
    </row>
    <row r="31" spans="1:8" x14ac:dyDescent="0.2">
      <c r="A31" s="8" t="s">
        <v>77</v>
      </c>
      <c r="B31" t="s">
        <v>78</v>
      </c>
      <c r="H31" s="12">
        <v>0.58217788355744171</v>
      </c>
    </row>
    <row r="32" spans="1:8" x14ac:dyDescent="0.2">
      <c r="A32" s="8" t="s">
        <v>79</v>
      </c>
      <c r="B32" t="s">
        <v>80</v>
      </c>
      <c r="H32" s="12">
        <v>4.0244910252926784E-3</v>
      </c>
    </row>
    <row r="33" spans="1:8" x14ac:dyDescent="0.2">
      <c r="A33" s="8" t="s">
        <v>81</v>
      </c>
      <c r="B33" t="s">
        <v>82</v>
      </c>
      <c r="H33" s="12">
        <v>0.21962052170291399</v>
      </c>
    </row>
    <row r="34" spans="1:8" x14ac:dyDescent="0.2">
      <c r="A34" s="8" t="s">
        <v>83</v>
      </c>
      <c r="B34" t="s">
        <v>84</v>
      </c>
      <c r="H34" s="12">
        <v>0.1695380778491947</v>
      </c>
    </row>
    <row r="35" spans="1:8" x14ac:dyDescent="0.2">
      <c r="A35" s="8" t="s">
        <v>85</v>
      </c>
      <c r="B35" t="s">
        <v>86</v>
      </c>
      <c r="H35" s="12">
        <v>1.4999999999999999E-2</v>
      </c>
    </row>
    <row r="36" spans="1:8" x14ac:dyDescent="0.2">
      <c r="A36" s="8" t="s">
        <v>87</v>
      </c>
      <c r="B36" t="s">
        <v>88</v>
      </c>
      <c r="H36" s="12">
        <v>3.7952417926852861E-2</v>
      </c>
    </row>
    <row r="37" spans="1:8" x14ac:dyDescent="0.2">
      <c r="A37" s="8" t="s">
        <v>89</v>
      </c>
      <c r="B37" t="s">
        <v>90</v>
      </c>
      <c r="H37" s="12">
        <v>1.9936993986076249E-2</v>
      </c>
    </row>
    <row r="38" spans="1:8" x14ac:dyDescent="0.2">
      <c r="A38" s="8" t="s">
        <v>91</v>
      </c>
      <c r="B38" t="s">
        <v>92</v>
      </c>
      <c r="H38" s="12">
        <v>0.12</v>
      </c>
    </row>
    <row r="39" spans="1:8" x14ac:dyDescent="0.2">
      <c r="A39" s="8" t="s">
        <v>93</v>
      </c>
      <c r="B39" t="s">
        <v>94</v>
      </c>
      <c r="H39" s="12">
        <v>7.858524167258038E-2</v>
      </c>
    </row>
    <row r="40" spans="1:8" x14ac:dyDescent="0.2">
      <c r="A40" s="8" t="s">
        <v>95</v>
      </c>
      <c r="B40" t="s">
        <v>96</v>
      </c>
      <c r="H40" s="12">
        <v>0.22390688233589659</v>
      </c>
    </row>
    <row r="41" spans="1:8" x14ac:dyDescent="0.2">
      <c r="A41" s="8" t="s">
        <v>97</v>
      </c>
      <c r="B41" t="s">
        <v>98</v>
      </c>
      <c r="H41" s="12">
        <v>0.15645942636426799</v>
      </c>
    </row>
    <row r="42" spans="1:8" x14ac:dyDescent="0.2">
      <c r="A42" s="8" t="s">
        <v>99</v>
      </c>
      <c r="B42" t="s">
        <v>100</v>
      </c>
      <c r="H42" s="11">
        <v>24.532759653874312</v>
      </c>
    </row>
    <row r="43" spans="1:8" x14ac:dyDescent="0.2">
      <c r="A43" s="8" t="s">
        <v>101</v>
      </c>
      <c r="B43" t="s">
        <v>102</v>
      </c>
      <c r="H43" s="12">
        <v>1.0000000886081331</v>
      </c>
    </row>
    <row r="44" spans="1:8" x14ac:dyDescent="0.2">
      <c r="A44" s="8" t="s">
        <v>103</v>
      </c>
      <c r="B44" t="s">
        <v>104</v>
      </c>
      <c r="H44" s="12">
        <v>0.5</v>
      </c>
    </row>
    <row r="45" spans="1:8" x14ac:dyDescent="0.2">
      <c r="A45" s="8" t="s">
        <v>105</v>
      </c>
      <c r="B45" t="s">
        <v>106</v>
      </c>
      <c r="H45" s="12">
        <v>0.05</v>
      </c>
    </row>
    <row r="46" spans="1:8" x14ac:dyDescent="0.2">
      <c r="A46" s="8" t="s">
        <v>107</v>
      </c>
      <c r="B46" t="s">
        <v>108</v>
      </c>
      <c r="H46" s="12">
        <v>0.23</v>
      </c>
    </row>
    <row r="47" spans="1:8" x14ac:dyDescent="0.2">
      <c r="A47" s="8" t="s">
        <v>109</v>
      </c>
      <c r="B47" t="s">
        <v>110</v>
      </c>
      <c r="H47" s="12">
        <v>4.4499999999999998E-2</v>
      </c>
    </row>
    <row r="48" spans="1:8" x14ac:dyDescent="0.2">
      <c r="A48" s="8" t="s">
        <v>111</v>
      </c>
      <c r="B48" t="s">
        <v>112</v>
      </c>
      <c r="H48" s="12">
        <v>2.2499999999999999E-2</v>
      </c>
    </row>
    <row r="49" spans="1:8" x14ac:dyDescent="0.2">
      <c r="A49" s="8" t="s">
        <v>113</v>
      </c>
      <c r="B49" t="s">
        <v>114</v>
      </c>
      <c r="H49" s="12">
        <v>0.01</v>
      </c>
    </row>
    <row r="50" spans="1:8" x14ac:dyDescent="0.2">
      <c r="A50" s="8" t="s">
        <v>115</v>
      </c>
      <c r="B50" t="s">
        <v>116</v>
      </c>
      <c r="H50" s="11">
        <v>350000</v>
      </c>
    </row>
    <row r="51" spans="1:8" x14ac:dyDescent="0.2">
      <c r="A51" s="8" t="s">
        <v>117</v>
      </c>
      <c r="B51" t="s">
        <v>118</v>
      </c>
      <c r="H51" s="11">
        <v>60000</v>
      </c>
    </row>
    <row r="52" spans="1:8" x14ac:dyDescent="0.2">
      <c r="A52" s="8" t="s">
        <v>119</v>
      </c>
      <c r="B52" t="s">
        <v>120</v>
      </c>
      <c r="H52" s="11">
        <v>100000</v>
      </c>
    </row>
    <row r="53" spans="1:8" x14ac:dyDescent="0.2">
      <c r="A53" s="8" t="s">
        <v>121</v>
      </c>
      <c r="B53" t="s">
        <v>122</v>
      </c>
      <c r="H53" s="11">
        <v>160000</v>
      </c>
    </row>
    <row r="54" spans="1:8" x14ac:dyDescent="0.2">
      <c r="A54" s="8" t="s">
        <v>123</v>
      </c>
      <c r="B54" t="s">
        <v>124</v>
      </c>
      <c r="H54" s="11">
        <v>1000</v>
      </c>
    </row>
    <row r="55" spans="1:8" x14ac:dyDescent="0.2">
      <c r="A55" s="8" t="s">
        <v>125</v>
      </c>
      <c r="B55" t="s">
        <v>126</v>
      </c>
      <c r="H55" s="11">
        <v>250000</v>
      </c>
    </row>
    <row r="56" spans="1:8" x14ac:dyDescent="0.2">
      <c r="A56" s="8" t="s">
        <v>127</v>
      </c>
      <c r="B56" t="s">
        <v>128</v>
      </c>
      <c r="H56" s="11">
        <v>150000</v>
      </c>
    </row>
    <row r="57" spans="1:8" x14ac:dyDescent="0.2">
      <c r="A57" s="8" t="s">
        <v>129</v>
      </c>
      <c r="B57" t="s">
        <v>130</v>
      </c>
      <c r="H57" s="11">
        <v>4166.67</v>
      </c>
    </row>
    <row r="58" spans="1:8" x14ac:dyDescent="0.2">
      <c r="A58" s="8" t="s">
        <v>131</v>
      </c>
      <c r="B58" t="s">
        <v>132</v>
      </c>
      <c r="H58" s="11">
        <v>60</v>
      </c>
    </row>
    <row r="59" spans="1:8" x14ac:dyDescent="0.2">
      <c r="A59" s="8" t="s">
        <v>133</v>
      </c>
      <c r="B59" t="s">
        <v>134</v>
      </c>
      <c r="H59" s="11">
        <v>650</v>
      </c>
    </row>
  </sheetData>
  <mergeCells count="1">
    <mergeCell ref="A1:I1"/>
  </mergeCells>
  <dataValidations count="1">
    <dataValidation type="list" sqref="C4" xr:uid="{00000000-0002-0000-0100-000000000000}">
      <formula1>"Conservative,Base,Optimistic,Custom"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5" customWidth="1"/>
    <col min="2" max="2" width="62" customWidth="1"/>
    <col min="3" max="16" width="12.5" customWidth="1"/>
  </cols>
  <sheetData>
    <row r="1" spans="1:16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9" customHeight="1" x14ac:dyDescent="0.25">
      <c r="A2" s="1" t="s">
        <v>135</v>
      </c>
    </row>
    <row r="3" spans="1:16" x14ac:dyDescent="0.2">
      <c r="A3" s="2" t="s">
        <v>136</v>
      </c>
    </row>
    <row r="5" spans="1:16" ht="32" customHeight="1" x14ac:dyDescent="0.2">
      <c r="A5" s="6" t="s">
        <v>28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141</v>
      </c>
      <c r="G5" s="7" t="s">
        <v>142</v>
      </c>
      <c r="H5" s="7" t="s">
        <v>143</v>
      </c>
      <c r="I5" s="7" t="s">
        <v>144</v>
      </c>
      <c r="J5" s="7" t="s">
        <v>145</v>
      </c>
      <c r="K5" s="7" t="s">
        <v>146</v>
      </c>
      <c r="L5" s="7" t="s">
        <v>147</v>
      </c>
      <c r="M5" s="7" t="s">
        <v>148</v>
      </c>
      <c r="N5" s="7" t="s">
        <v>149</v>
      </c>
      <c r="O5" s="7" t="s">
        <v>150</v>
      </c>
      <c r="P5" s="7" t="s">
        <v>151</v>
      </c>
    </row>
    <row r="6" spans="1:16" x14ac:dyDescent="0.2">
      <c r="A6" s="8" t="s">
        <v>152</v>
      </c>
      <c r="B6" t="s">
        <v>153</v>
      </c>
      <c r="D6" s="11">
        <v>50.43352850738929</v>
      </c>
      <c r="E6" s="11">
        <v>37.289959581459463</v>
      </c>
      <c r="F6" s="11">
        <v>31.44263848807071</v>
      </c>
      <c r="G6" s="11">
        <v>23.546461093011349</v>
      </c>
      <c r="H6" s="11">
        <v>22.673746598248819</v>
      </c>
      <c r="I6" s="11">
        <v>49.435385609282548</v>
      </c>
      <c r="J6" s="11">
        <v>111.3188523533847</v>
      </c>
      <c r="K6" s="11">
        <v>132.99826012537619</v>
      </c>
      <c r="L6" s="11">
        <v>128.73151679809061</v>
      </c>
      <c r="M6" s="11">
        <v>121.4859369861383</v>
      </c>
      <c r="N6" s="11">
        <v>105.96840276983779</v>
      </c>
      <c r="O6" s="11">
        <v>74.610758917454177</v>
      </c>
    </row>
    <row r="7" spans="1:16" x14ac:dyDescent="0.2">
      <c r="A7" s="8" t="s">
        <v>154</v>
      </c>
      <c r="B7" t="s">
        <v>155</v>
      </c>
      <c r="D7" s="11">
        <v>22723.51787531891</v>
      </c>
      <c r="E7" s="11">
        <v>12180.321534101169</v>
      </c>
      <c r="F7" s="11">
        <v>15285.082173215629</v>
      </c>
      <c r="G7" s="11">
        <v>15178.05916532483</v>
      </c>
      <c r="H7" s="11">
        <v>11141.181997709909</v>
      </c>
      <c r="I7" s="11">
        <v>20438.75609470213</v>
      </c>
      <c r="J7" s="11">
        <v>28791.85946299665</v>
      </c>
      <c r="K7" s="11">
        <v>36900.546421238221</v>
      </c>
      <c r="L7" s="11">
        <v>51068.19479530555</v>
      </c>
      <c r="M7" s="11">
        <v>38132.028724321754</v>
      </c>
      <c r="N7" s="11">
        <v>34732.495072781567</v>
      </c>
      <c r="O7" s="11">
        <v>28765.635535418729</v>
      </c>
    </row>
    <row r="8" spans="1:16" x14ac:dyDescent="0.2">
      <c r="A8" s="8" t="s">
        <v>156</v>
      </c>
      <c r="B8" t="s">
        <v>157</v>
      </c>
      <c r="D8" s="11">
        <v>47493.61903517208</v>
      </c>
      <c r="E8" s="11">
        <v>27826.365330566339</v>
      </c>
      <c r="F8" s="11">
        <v>22788.956309029651</v>
      </c>
      <c r="G8" s="11">
        <v>36907.953743320482</v>
      </c>
      <c r="H8" s="11">
        <v>43967.132565049513</v>
      </c>
      <c r="I8" s="11">
        <v>62422.863128788536</v>
      </c>
      <c r="J8" s="11">
        <v>83178.978297387017</v>
      </c>
      <c r="K8" s="11">
        <v>89350.197830980018</v>
      </c>
      <c r="L8" s="11">
        <v>91001.052728510083</v>
      </c>
      <c r="M8" s="11">
        <v>77401.866678716178</v>
      </c>
      <c r="N8" s="11">
        <v>64221.753582596961</v>
      </c>
      <c r="O8" s="11">
        <v>59638.214549546094</v>
      </c>
    </row>
    <row r="9" spans="1:16" x14ac:dyDescent="0.2">
      <c r="A9" s="8" t="s">
        <v>158</v>
      </c>
      <c r="B9" t="s">
        <v>159</v>
      </c>
      <c r="D9" s="11">
        <v>21791.504721000001</v>
      </c>
      <c r="E9" s="11">
        <v>20718.659553500001</v>
      </c>
      <c r="F9" s="11">
        <v>20718.659553500001</v>
      </c>
      <c r="G9" s="11">
        <v>21791.501373499999</v>
      </c>
      <c r="H9" s="11">
        <v>20182.231587999999</v>
      </c>
      <c r="I9" s="11">
        <v>21791.507708000001</v>
      </c>
      <c r="J9" s="11">
        <v>29041.879021500001</v>
      </c>
      <c r="K9" s="11">
        <v>29041.879021500001</v>
      </c>
      <c r="L9" s="11">
        <v>29889.773528000009</v>
      </c>
      <c r="M9" s="11">
        <v>29889.773476499999</v>
      </c>
      <c r="N9" s="11">
        <v>29889.781149999999</v>
      </c>
      <c r="O9" s="11">
        <v>29041.878352</v>
      </c>
    </row>
    <row r="10" spans="1:16" x14ac:dyDescent="0.2">
      <c r="A10" s="8" t="s">
        <v>160</v>
      </c>
      <c r="B10" t="s">
        <v>161</v>
      </c>
      <c r="D10" s="11">
        <v>17184.725999999999</v>
      </c>
      <c r="E10" s="11">
        <v>15862.824000000001</v>
      </c>
      <c r="F10" s="11">
        <v>15862.824000000001</v>
      </c>
      <c r="G10" s="11">
        <v>17184.725999999999</v>
      </c>
      <c r="H10" s="11">
        <v>15201.873</v>
      </c>
      <c r="I10" s="11">
        <v>17184.725999999999</v>
      </c>
      <c r="J10" s="11">
        <v>26762.294300000001</v>
      </c>
      <c r="K10" s="11">
        <v>26762.294300000001</v>
      </c>
      <c r="L10" s="11">
        <v>27832.783599999999</v>
      </c>
      <c r="M10" s="11">
        <v>27832.783599999999</v>
      </c>
      <c r="N10" s="11">
        <v>27832.783599999999</v>
      </c>
      <c r="O10" s="11">
        <v>26762.294300000001</v>
      </c>
    </row>
    <row r="11" spans="1:16" x14ac:dyDescent="0.2">
      <c r="A11" s="8" t="s">
        <v>162</v>
      </c>
      <c r="B11" t="s">
        <v>163</v>
      </c>
      <c r="D11" s="11">
        <v>20157.099999999999</v>
      </c>
      <c r="E11" s="11">
        <v>20157.099999999999</v>
      </c>
      <c r="F11" s="11">
        <v>20157.099999999999</v>
      </c>
      <c r="G11" s="11">
        <v>20761.812999999998</v>
      </c>
      <c r="H11" s="11">
        <v>20761.812999999998</v>
      </c>
      <c r="I11" s="11">
        <v>20761.812999999998</v>
      </c>
      <c r="J11" s="11">
        <v>20761.812999999998</v>
      </c>
      <c r="K11" s="11">
        <v>20761.812999999998</v>
      </c>
      <c r="L11" s="11">
        <v>20761.812999999998</v>
      </c>
      <c r="M11" s="11">
        <v>20761.812999999998</v>
      </c>
      <c r="N11" s="11">
        <v>20761.812999999998</v>
      </c>
      <c r="O11" s="11">
        <v>20761.812999999998</v>
      </c>
    </row>
    <row r="12" spans="1:16" x14ac:dyDescent="0.2">
      <c r="A12" s="8" t="s">
        <v>164</v>
      </c>
      <c r="B12" t="s">
        <v>165</v>
      </c>
      <c r="D12" s="11">
        <v>1546.8787500000001</v>
      </c>
      <c r="E12" s="11">
        <v>1857.0540000000001</v>
      </c>
      <c r="F12" s="11">
        <v>2290.4137500000002</v>
      </c>
      <c r="G12" s="11">
        <v>2197.1695</v>
      </c>
      <c r="H12" s="11">
        <v>2085.8339999999998</v>
      </c>
      <c r="I12" s="11">
        <v>1961.932</v>
      </c>
      <c r="J12" s="11">
        <v>1760.93975</v>
      </c>
      <c r="K12" s="11">
        <v>1216.78775</v>
      </c>
      <c r="L12" s="11">
        <v>1299.3412499999999</v>
      </c>
      <c r="M12" s="11">
        <v>1198.6042500000001</v>
      </c>
      <c r="N12" s="11">
        <v>1079.0585000000001</v>
      </c>
      <c r="O12" s="11">
        <v>1240.1679999999999</v>
      </c>
    </row>
    <row r="13" spans="1:16" x14ac:dyDescent="0.2">
      <c r="A13" s="8" t="s">
        <v>166</v>
      </c>
      <c r="B13" t="s">
        <v>167</v>
      </c>
      <c r="D13" s="11">
        <v>5903.9668000000001</v>
      </c>
      <c r="E13" s="11">
        <v>5074.0080000000007</v>
      </c>
      <c r="F13" s="11">
        <v>5157.6737999999996</v>
      </c>
      <c r="G13" s="11">
        <v>5029.8589999999986</v>
      </c>
      <c r="H13" s="11">
        <v>5430.009</v>
      </c>
      <c r="I13" s="11">
        <v>6559.4602000000004</v>
      </c>
      <c r="J13" s="11">
        <v>8211.9789999999994</v>
      </c>
      <c r="K13" s="11">
        <v>10437.502</v>
      </c>
      <c r="L13" s="11">
        <v>10167.626</v>
      </c>
      <c r="M13" s="11">
        <v>9170.865600000001</v>
      </c>
      <c r="N13" s="11">
        <v>8276.5542000000005</v>
      </c>
      <c r="O13" s="11">
        <v>8066.0382000000009</v>
      </c>
    </row>
    <row r="14" spans="1:16" x14ac:dyDescent="0.2">
      <c r="A14" s="8" t="s">
        <v>168</v>
      </c>
      <c r="B14" t="s">
        <v>169</v>
      </c>
      <c r="D14" s="11">
        <v>2487.6799999999998</v>
      </c>
      <c r="E14" s="11">
        <v>2487.6799999999998</v>
      </c>
      <c r="F14" s="11">
        <v>2487.6799999999998</v>
      </c>
      <c r="G14" s="11">
        <v>2587.1871999999998</v>
      </c>
      <c r="H14" s="11">
        <v>2587.1871999999998</v>
      </c>
      <c r="I14" s="11">
        <v>2587.1871999999998</v>
      </c>
      <c r="J14" s="11">
        <v>2587.1871999999998</v>
      </c>
      <c r="K14" s="11">
        <v>2587.1871999999998</v>
      </c>
      <c r="L14" s="11">
        <v>2587.1871999999998</v>
      </c>
      <c r="M14" s="11">
        <v>2587.1871999999998</v>
      </c>
      <c r="N14" s="11">
        <v>2587.1871999999998</v>
      </c>
      <c r="O14" s="11">
        <v>2587.1871999999998</v>
      </c>
    </row>
    <row r="15" spans="1:16" x14ac:dyDescent="0.2">
      <c r="A15" s="8" t="s">
        <v>170</v>
      </c>
      <c r="B15" t="s">
        <v>171</v>
      </c>
      <c r="D15" s="11">
        <v>0</v>
      </c>
      <c r="E15" s="11">
        <v>0</v>
      </c>
      <c r="F15" s="11">
        <v>0</v>
      </c>
      <c r="G15" s="11">
        <v>31046.2464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</row>
    <row r="16" spans="1:16" x14ac:dyDescent="0.2">
      <c r="A16" s="8" t="s">
        <v>172</v>
      </c>
      <c r="B16" t="s">
        <v>173</v>
      </c>
      <c r="D16" s="11">
        <v>3221.3452291666658</v>
      </c>
      <c r="E16" s="11">
        <v>3221.3452291666658</v>
      </c>
      <c r="F16" s="11">
        <v>3221.3452291666658</v>
      </c>
      <c r="G16" s="11">
        <v>3221.3452291666658</v>
      </c>
      <c r="H16" s="11">
        <v>3221.3452291666658</v>
      </c>
      <c r="I16" s="11">
        <v>3221.3452291666658</v>
      </c>
      <c r="J16" s="11">
        <v>3221.3452291666658</v>
      </c>
      <c r="K16" s="11">
        <v>3221.3452291666658</v>
      </c>
      <c r="L16" s="11">
        <v>3221.3452291666658</v>
      </c>
      <c r="M16" s="11">
        <v>3221.3452291666658</v>
      </c>
      <c r="N16" s="11">
        <v>3221.3452291666658</v>
      </c>
      <c r="O16" s="11">
        <v>3221.3452291666658</v>
      </c>
    </row>
    <row r="17" spans="1:15" x14ac:dyDescent="0.2">
      <c r="A17" s="8" t="s">
        <v>174</v>
      </c>
      <c r="B17" t="s">
        <v>175</v>
      </c>
      <c r="D17" s="11">
        <v>0</v>
      </c>
      <c r="E17" s="11">
        <v>0</v>
      </c>
      <c r="F17" s="11">
        <v>0</v>
      </c>
      <c r="G17" s="11">
        <v>6000</v>
      </c>
      <c r="H17" s="11">
        <v>0</v>
      </c>
      <c r="I17" s="11">
        <v>12000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 spans="1:15" x14ac:dyDescent="0.2">
      <c r="A18" s="8" t="s">
        <v>176</v>
      </c>
      <c r="B18" t="s">
        <v>177</v>
      </c>
      <c r="D18" s="11">
        <v>3712.19</v>
      </c>
      <c r="E18" s="11">
        <v>3101.04</v>
      </c>
      <c r="F18" s="11">
        <v>3101.04</v>
      </c>
      <c r="G18" s="11">
        <v>3101.04</v>
      </c>
      <c r="H18" s="11">
        <v>3101.04</v>
      </c>
      <c r="I18" s="11">
        <v>3101.04</v>
      </c>
      <c r="J18" s="11">
        <v>3101.04</v>
      </c>
      <c r="K18" s="11">
        <v>3101.04</v>
      </c>
      <c r="L18" s="11">
        <v>3101.04</v>
      </c>
      <c r="M18" s="11">
        <v>3101.04</v>
      </c>
      <c r="N18" s="11">
        <v>3101.04</v>
      </c>
      <c r="O18" s="11">
        <v>3101.04</v>
      </c>
    </row>
    <row r="19" spans="1:15" x14ac:dyDescent="0.2">
      <c r="A19" s="8" t="s">
        <v>178</v>
      </c>
      <c r="B19" t="s">
        <v>179</v>
      </c>
      <c r="D19" s="13">
        <v>5.0842070978719844</v>
      </c>
      <c r="E19" s="13">
        <v>6.4771546273959464</v>
      </c>
      <c r="F19" s="13">
        <v>9.2013732212216226</v>
      </c>
      <c r="G19" s="13">
        <v>6.654990499343711</v>
      </c>
      <c r="H19" s="13">
        <v>3.214954158903176</v>
      </c>
      <c r="I19" s="13">
        <v>2.4302684175213551</v>
      </c>
      <c r="J19" s="13">
        <v>1.9295454540203809</v>
      </c>
      <c r="K19" s="13">
        <v>1.457676130467513</v>
      </c>
      <c r="L19" s="13">
        <v>1.331658301847825</v>
      </c>
      <c r="M19" s="13">
        <v>1.778907566010824</v>
      </c>
      <c r="N19" s="13">
        <v>2.678697782379913</v>
      </c>
      <c r="O19" s="13">
        <v>4.0093791995771504</v>
      </c>
    </row>
    <row r="20" spans="1:15" x14ac:dyDescent="0.2">
      <c r="A20" s="8" t="s">
        <v>180</v>
      </c>
      <c r="B20" t="s">
        <v>181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 spans="1:15" x14ac:dyDescent="0.2">
      <c r="A21" s="8" t="s">
        <v>182</v>
      </c>
      <c r="B21" t="s">
        <v>183</v>
      </c>
      <c r="D21" s="14">
        <v>0</v>
      </c>
      <c r="E21" s="14">
        <v>0</v>
      </c>
      <c r="F21" s="14">
        <v>0</v>
      </c>
      <c r="G21" s="14">
        <v>0</v>
      </c>
      <c r="H21" s="14">
        <v>1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</row>
    <row r="22" spans="1:15" x14ac:dyDescent="0.2">
      <c r="A22" s="8" t="s">
        <v>184</v>
      </c>
      <c r="B22" t="s">
        <v>185</v>
      </c>
      <c r="D22" s="14">
        <v>0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</row>
    <row r="23" spans="1:15" x14ac:dyDescent="0.2">
      <c r="A23" s="8" t="s">
        <v>186</v>
      </c>
      <c r="B23" t="s">
        <v>187</v>
      </c>
      <c r="D23" s="14">
        <v>1</v>
      </c>
      <c r="E23" s="14">
        <v>0</v>
      </c>
      <c r="F23" s="14">
        <v>0</v>
      </c>
      <c r="G23" s="14">
        <v>1</v>
      </c>
      <c r="H23" s="14">
        <v>0</v>
      </c>
      <c r="I23" s="14">
        <v>0</v>
      </c>
      <c r="J23" s="14">
        <v>1</v>
      </c>
      <c r="K23" s="14">
        <v>0</v>
      </c>
      <c r="L23" s="14">
        <v>0</v>
      </c>
      <c r="M23" s="14">
        <v>1</v>
      </c>
      <c r="N23" s="14">
        <v>0</v>
      </c>
      <c r="O23" s="14">
        <v>0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1"/>
  <sheetViews>
    <sheetView showGridLines="0" workbookViewId="0">
      <pane xSplit="3" ySplit="5" topLeftCell="D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3" customWidth="1"/>
    <col min="2" max="2" width="58" customWidth="1"/>
    <col min="3" max="16" width="12.5" customWidth="1"/>
  </cols>
  <sheetData>
    <row r="1" spans="1:16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9" customHeight="1" x14ac:dyDescent="0.25">
      <c r="A2" s="1" t="s">
        <v>188</v>
      </c>
    </row>
    <row r="3" spans="1:16" x14ac:dyDescent="0.2">
      <c r="A3" s="2" t="s">
        <v>189</v>
      </c>
    </row>
    <row r="5" spans="1:16" ht="32" customHeight="1" x14ac:dyDescent="0.2">
      <c r="A5" s="6" t="s">
        <v>28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141</v>
      </c>
      <c r="G5" s="7" t="s">
        <v>142</v>
      </c>
      <c r="H5" s="7" t="s">
        <v>143</v>
      </c>
      <c r="I5" s="7" t="s">
        <v>144</v>
      </c>
      <c r="J5" s="7" t="s">
        <v>145</v>
      </c>
      <c r="K5" s="7" t="s">
        <v>146</v>
      </c>
      <c r="L5" s="7" t="s">
        <v>147</v>
      </c>
      <c r="M5" s="7" t="s">
        <v>148</v>
      </c>
      <c r="N5" s="7" t="s">
        <v>149</v>
      </c>
      <c r="O5" s="7" t="s">
        <v>150</v>
      </c>
      <c r="P5" s="7" t="s">
        <v>151</v>
      </c>
    </row>
    <row r="7" spans="1:16" x14ac:dyDescent="0.2">
      <c r="A7" s="15" t="s">
        <v>190</v>
      </c>
    </row>
    <row r="8" spans="1:16" x14ac:dyDescent="0.2">
      <c r="A8" s="8" t="s">
        <v>191</v>
      </c>
      <c r="B8" t="s">
        <v>192</v>
      </c>
      <c r="D8" s="16">
        <f>D89*D90/(1-Assumptions!$H$27)</f>
        <v>134815.1187317989</v>
      </c>
      <c r="E8" s="16">
        <f>E89*E90/(1-Assumptions!$H$27)</f>
        <v>99680.717912526583</v>
      </c>
      <c r="F8" s="16">
        <f>F89*F90/(1-Assumptions!$H$27)</f>
        <v>84050.098544844266</v>
      </c>
      <c r="G8" s="16">
        <f>G89*G90/(1-Assumptions!$H$27)</f>
        <v>62942.630466613235</v>
      </c>
      <c r="H8" s="16">
        <f>H89*H90/(1-Assumptions!$H$27)</f>
        <v>60609.755656691217</v>
      </c>
      <c r="I8" s="16">
        <f>I89*I90/(1-Assumptions!$H$27)</f>
        <v>132146.95813899313</v>
      </c>
      <c r="J8" s="16">
        <f>J89*J90/(1-Assumptions!$H$27)</f>
        <v>297569.19139437808</v>
      </c>
      <c r="K8" s="16">
        <f>K89*K90/(1-Assumptions!$H$27)</f>
        <v>355520.95521728607</v>
      </c>
      <c r="L8" s="16">
        <f>L89*L90/(1-Assumptions!$H$27)</f>
        <v>344115.4175662403</v>
      </c>
      <c r="M8" s="16">
        <f>M89*M90/(1-Assumptions!$H$27)</f>
        <v>324747.07805999386</v>
      </c>
      <c r="N8" s="16">
        <f>N89*N90/(1-Assumptions!$H$27)</f>
        <v>283266.77161090623</v>
      </c>
      <c r="O8" s="16">
        <f>O89*O90/(1-Assumptions!$H$27)</f>
        <v>199443.87433951721</v>
      </c>
      <c r="P8" s="16">
        <f t="shared" ref="P8:P38" si="0">SUM(D8:O8)</f>
        <v>2378908.5676397891</v>
      </c>
    </row>
    <row r="9" spans="1:16" x14ac:dyDescent="0.2">
      <c r="A9" s="8" t="s">
        <v>193</v>
      </c>
      <c r="B9" t="s">
        <v>194</v>
      </c>
      <c r="D9" s="16">
        <f>D93/((1-Assumptions!$H$28)*(1-Assumptions!$H$29))</f>
        <v>24044.160473150019</v>
      </c>
      <c r="E9" s="16">
        <f>E93/((1-Assumptions!$H$28)*(1-Assumptions!$H$29))</f>
        <v>12888.215952627148</v>
      </c>
      <c r="F9" s="16">
        <f>F93/((1-Assumptions!$H$28)*(1-Assumptions!$H$29))</f>
        <v>16173.418686076719</v>
      </c>
      <c r="G9" s="16">
        <f>G93/((1-Assumptions!$H$28)*(1-Assumptions!$H$29))</f>
        <v>16060.175728266893</v>
      </c>
      <c r="H9" s="16">
        <f>H93/((1-Assumptions!$H$28)*(1-Assumptions!$H$29))</f>
        <v>11788.683833345396</v>
      </c>
      <c r="I9" s="16">
        <f>I93/((1-Assumptions!$H$28)*(1-Assumptions!$H$29))</f>
        <v>21626.613190308854</v>
      </c>
      <c r="J9" s="16">
        <f>J93/((1-Assumptions!$H$28)*(1-Assumptions!$H$29))</f>
        <v>30465.181185726011</v>
      </c>
      <c r="K9" s="16">
        <f>K93/((1-Assumptions!$H$28)*(1-Assumptions!$H$29))</f>
        <v>39045.127808438927</v>
      </c>
      <c r="L9" s="16">
        <f>L93/((1-Assumptions!$H$28)*(1-Assumptions!$H$29))</f>
        <v>54036.169816209782</v>
      </c>
      <c r="M9" s="16">
        <f>M93/((1-Assumptions!$H$28)*(1-Assumptions!$H$29))</f>
        <v>40348.181247508131</v>
      </c>
      <c r="N9" s="16">
        <f>N93/((1-Assumptions!$H$28)*(1-Assumptions!$H$29))</f>
        <v>36751.073920200921</v>
      </c>
      <c r="O9" s="16">
        <f>O93/((1-Assumptions!$H$28)*(1-Assumptions!$H$29))</f>
        <v>30437.433179172647</v>
      </c>
      <c r="P9" s="16">
        <f t="shared" si="0"/>
        <v>333664.43502103147</v>
      </c>
    </row>
    <row r="10" spans="1:16" x14ac:dyDescent="0.2">
      <c r="A10" s="8" t="s">
        <v>195</v>
      </c>
      <c r="B10" t="s">
        <v>196</v>
      </c>
      <c r="D10" s="16">
        <f>Drivers!D8*Assumptions!$H$14</f>
        <v>47493.61903517208</v>
      </c>
      <c r="E10" s="16">
        <f>Drivers!E8*Assumptions!$H$14</f>
        <v>27826.365330566339</v>
      </c>
      <c r="F10" s="16">
        <f>Drivers!F8*Assumptions!$H$14</f>
        <v>22788.956309029651</v>
      </c>
      <c r="G10" s="16">
        <f>Drivers!G8*Assumptions!$H$14</f>
        <v>36907.953743320482</v>
      </c>
      <c r="H10" s="16">
        <f>Drivers!H8*Assumptions!$H$14</f>
        <v>43967.132565049513</v>
      </c>
      <c r="I10" s="16">
        <f>Drivers!I8*Assumptions!$H$14</f>
        <v>62422.863128788536</v>
      </c>
      <c r="J10" s="16">
        <f>Drivers!J8*Assumptions!$H$14</f>
        <v>83178.978297387017</v>
      </c>
      <c r="K10" s="16">
        <f>Drivers!K8*Assumptions!$H$14</f>
        <v>89350.197830980018</v>
      </c>
      <c r="L10" s="16">
        <f>Drivers!L8*Assumptions!$H$14</f>
        <v>91001.052728510083</v>
      </c>
      <c r="M10" s="16">
        <f>Drivers!M8*Assumptions!$H$14</f>
        <v>77401.866678716178</v>
      </c>
      <c r="N10" s="16">
        <f>Drivers!N8*Assumptions!$H$14</f>
        <v>64221.753582596961</v>
      </c>
      <c r="O10" s="16">
        <f>Drivers!O8*Assumptions!$H$14</f>
        <v>59638.214549546094</v>
      </c>
      <c r="P10" s="16">
        <f t="shared" si="0"/>
        <v>706198.95377966296</v>
      </c>
    </row>
    <row r="11" spans="1:16" x14ac:dyDescent="0.2">
      <c r="A11" s="17" t="s">
        <v>197</v>
      </c>
      <c r="B11" s="17" t="s">
        <v>198</v>
      </c>
      <c r="C11" s="17"/>
      <c r="D11" s="18">
        <f t="shared" ref="D11:O11" si="1">D8+D9+D10</f>
        <v>206352.89824012099</v>
      </c>
      <c r="E11" s="18">
        <f t="shared" si="1"/>
        <v>140395.29919572006</v>
      </c>
      <c r="F11" s="18">
        <f t="shared" si="1"/>
        <v>123012.47353995065</v>
      </c>
      <c r="G11" s="18">
        <f t="shared" si="1"/>
        <v>115910.75993820062</v>
      </c>
      <c r="H11" s="18">
        <f t="shared" si="1"/>
        <v>116365.57205508613</v>
      </c>
      <c r="I11" s="18">
        <f t="shared" si="1"/>
        <v>216196.43445809052</v>
      </c>
      <c r="J11" s="18">
        <f t="shared" si="1"/>
        <v>411213.35087749112</v>
      </c>
      <c r="K11" s="18">
        <f t="shared" si="1"/>
        <v>483916.28085670498</v>
      </c>
      <c r="L11" s="18">
        <f t="shared" si="1"/>
        <v>489152.64011096011</v>
      </c>
      <c r="M11" s="18">
        <f t="shared" si="1"/>
        <v>442497.12598621822</v>
      </c>
      <c r="N11" s="18">
        <f t="shared" si="1"/>
        <v>384239.59911370411</v>
      </c>
      <c r="O11" s="18">
        <f t="shared" si="1"/>
        <v>289519.52206823596</v>
      </c>
      <c r="P11" s="18">
        <f t="shared" si="0"/>
        <v>3418771.9564404837</v>
      </c>
    </row>
    <row r="12" spans="1:16" x14ac:dyDescent="0.2">
      <c r="A12" s="8" t="s">
        <v>199</v>
      </c>
      <c r="B12" t="s">
        <v>200</v>
      </c>
      <c r="D12" s="16">
        <f>-(D8*D91+D9*Assumptions!$H$28)</f>
        <v>-3646.0961278814079</v>
      </c>
      <c r="E12" s="16">
        <f>-(E8*E91+E9*Assumptions!$H$28)</f>
        <v>-2592.8165857234544</v>
      </c>
      <c r="F12" s="16">
        <f>-(F8*F91+F9*Assumptions!$H$28)</f>
        <v>-2298.0862087448813</v>
      </c>
      <c r="G12" s="16">
        <f>-(G8*G91+G9*Assumptions!$H$28)</f>
        <v>-1804.1910063307528</v>
      </c>
      <c r="H12" s="16">
        <f>-(H8*H91+H9*Assumptions!$H$28)</f>
        <v>-1659.8350376648734</v>
      </c>
      <c r="I12" s="16">
        <f>-(I8*I91+I9*Assumptions!$H$28)</f>
        <v>-3533.0093434271544</v>
      </c>
      <c r="J12" s="16">
        <f>-(J8*J91+J9*Assumptions!$H$28)</f>
        <v>-7571.3255421437443</v>
      </c>
      <c r="K12" s="16">
        <f>-(K8*K91+K9*Assumptions!$H$28)</f>
        <v>-9101.6342244700045</v>
      </c>
      <c r="L12" s="16">
        <f>-(L8*L91+L9*Assumptions!$H$28)</f>
        <v>-9152.0197015031354</v>
      </c>
      <c r="M12" s="16">
        <f>-(M8*M91+M9*Assumptions!$H$28)</f>
        <v>-8412.4991906409214</v>
      </c>
      <c r="N12" s="16">
        <f>-(N8*N91+N9*Assumptions!$H$28)</f>
        <v>-7370.770860395477</v>
      </c>
      <c r="O12" s="16">
        <f>-(O8*O91+O9*Assumptions!$H$28)</f>
        <v>-5285.7954112405932</v>
      </c>
      <c r="P12" s="16">
        <f t="shared" si="0"/>
        <v>-62428.0792401664</v>
      </c>
    </row>
    <row r="13" spans="1:16" x14ac:dyDescent="0.2">
      <c r="A13" s="8" t="s">
        <v>201</v>
      </c>
      <c r="B13" t="s">
        <v>202</v>
      </c>
      <c r="D13" s="16">
        <f>-(Assumptions!$H$27*D8*(1-D91)+Assumptions!$H$29*D9*(1-Assumptions!$H$28))</f>
        <v>-4815.4251030229161</v>
      </c>
      <c r="E13" s="16">
        <f>-(Assumptions!$H$27*E8*(1-E91)+Assumptions!$H$29*E9*(1-Assumptions!$H$28))</f>
        <v>-3394.9597582639394</v>
      </c>
      <c r="F13" s="16">
        <f>-(Assumptions!$H$27*F8*(1-F91)+Assumptions!$H$29*F9*(1-Assumptions!$H$28))</f>
        <v>-3042.2105772113755</v>
      </c>
      <c r="G13" s="16">
        <f>-(Assumptions!$H$27*G8*(1-G91)+Assumptions!$H$29*G9*(1-Assumptions!$H$28))</f>
        <v>-2411.8668032353512</v>
      </c>
      <c r="H13" s="16">
        <f>-(Assumptions!$H$27*H8*(1-H91)+Assumptions!$H$29*H9*(1-Assumptions!$H$28))</f>
        <v>-2198.040480062461</v>
      </c>
      <c r="I13" s="16">
        <f>-(Assumptions!$H$27*I8*(1-I91)+Assumptions!$H$29*I9*(1-Assumptions!$H$28))</f>
        <v>-4654.3994247011387</v>
      </c>
      <c r="J13" s="16">
        <f>-(Assumptions!$H$27*J8*(1-J91)+Assumptions!$H$29*J9*(1-Assumptions!$H$28))</f>
        <v>-9863.622181273824</v>
      </c>
      <c r="K13" s="16">
        <f>-(Assumptions!$H$27*K8*(1-K91)+Assumptions!$H$29*K9*(1-Assumptions!$H$28))</f>
        <v>-11874.158503140154</v>
      </c>
      <c r="L13" s="16">
        <f>-(Assumptions!$H$27*L8*(1-L91)+Assumptions!$H$29*L9*(1-Assumptions!$H$28))</f>
        <v>-12043.038867043537</v>
      </c>
      <c r="M13" s="16">
        <f>-(Assumptions!$H$27*M8*(1-M91)+Assumptions!$H$29*M9*(1-Assumptions!$H$28))</f>
        <v>-11004.835905287508</v>
      </c>
      <c r="N13" s="16">
        <f>-(Assumptions!$H$27*N8*(1-N91)+Assumptions!$H$29*N9*(1-Assumptions!$H$28))</f>
        <v>-9651.8643264323382</v>
      </c>
      <c r="O13" s="16">
        <f>-(Assumptions!$H$27*O8*(1-O91)+Assumptions!$H$29*O9*(1-Assumptions!$H$28))</f>
        <v>-6950.1326814261784</v>
      </c>
      <c r="P13" s="16">
        <f t="shared" si="0"/>
        <v>-81904.554611100728</v>
      </c>
    </row>
    <row r="14" spans="1:16" x14ac:dyDescent="0.2">
      <c r="A14" s="17" t="s">
        <v>203</v>
      </c>
      <c r="B14" s="17" t="s">
        <v>204</v>
      </c>
      <c r="C14" s="17"/>
      <c r="D14" s="18">
        <f t="shared" ref="D14:O14" si="2">D12+D13</f>
        <v>-8461.5212309043236</v>
      </c>
      <c r="E14" s="18">
        <f t="shared" si="2"/>
        <v>-5987.7763439873943</v>
      </c>
      <c r="F14" s="18">
        <f t="shared" si="2"/>
        <v>-5340.2967859562568</v>
      </c>
      <c r="G14" s="18">
        <f t="shared" si="2"/>
        <v>-4216.057809566104</v>
      </c>
      <c r="H14" s="18">
        <f t="shared" si="2"/>
        <v>-3857.8755177273342</v>
      </c>
      <c r="I14" s="18">
        <f t="shared" si="2"/>
        <v>-8187.4087681282926</v>
      </c>
      <c r="J14" s="18">
        <f t="shared" si="2"/>
        <v>-17434.947723417568</v>
      </c>
      <c r="K14" s="18">
        <f t="shared" si="2"/>
        <v>-20975.792727610158</v>
      </c>
      <c r="L14" s="18">
        <f t="shared" si="2"/>
        <v>-21195.058568546672</v>
      </c>
      <c r="M14" s="18">
        <f t="shared" si="2"/>
        <v>-19417.335095928429</v>
      </c>
      <c r="N14" s="18">
        <f t="shared" si="2"/>
        <v>-17022.635186827814</v>
      </c>
      <c r="O14" s="18">
        <f t="shared" si="2"/>
        <v>-12235.928092666771</v>
      </c>
      <c r="P14" s="18">
        <f t="shared" si="0"/>
        <v>-144332.63385126711</v>
      </c>
    </row>
    <row r="15" spans="1:16" x14ac:dyDescent="0.2">
      <c r="A15" s="17" t="s">
        <v>205</v>
      </c>
      <c r="B15" s="17" t="s">
        <v>206</v>
      </c>
      <c r="C15" s="17"/>
      <c r="D15" s="18">
        <f t="shared" ref="D15:O15" si="3">D11+D14</f>
        <v>197891.37700921667</v>
      </c>
      <c r="E15" s="18">
        <f t="shared" si="3"/>
        <v>134407.52285173268</v>
      </c>
      <c r="F15" s="18">
        <f t="shared" si="3"/>
        <v>117672.17675399438</v>
      </c>
      <c r="G15" s="18">
        <f t="shared" si="3"/>
        <v>111694.70212863451</v>
      </c>
      <c r="H15" s="18">
        <f t="shared" si="3"/>
        <v>112507.6965373588</v>
      </c>
      <c r="I15" s="18">
        <f t="shared" si="3"/>
        <v>208009.02568996223</v>
      </c>
      <c r="J15" s="18">
        <f t="shared" si="3"/>
        <v>393778.40315407357</v>
      </c>
      <c r="K15" s="18">
        <f t="shared" si="3"/>
        <v>462940.48812909483</v>
      </c>
      <c r="L15" s="18">
        <f t="shared" si="3"/>
        <v>467957.58154241345</v>
      </c>
      <c r="M15" s="18">
        <f t="shared" si="3"/>
        <v>423079.79089028982</v>
      </c>
      <c r="N15" s="18">
        <f t="shared" si="3"/>
        <v>367216.96392687631</v>
      </c>
      <c r="O15" s="18">
        <f t="shared" si="3"/>
        <v>277283.59397556918</v>
      </c>
      <c r="P15" s="18">
        <f t="shared" si="0"/>
        <v>3274439.3225892168</v>
      </c>
    </row>
    <row r="16" spans="1:16" x14ac:dyDescent="0.2">
      <c r="A16" s="8" t="s">
        <v>207</v>
      </c>
      <c r="B16" t="s">
        <v>208</v>
      </c>
      <c r="D16" s="16">
        <f>-(D89*Assumptions!$H$30*(1+Assumptions!$H$13)-Assumptions!$H$12*D92)</f>
        <v>-91954.552917382098</v>
      </c>
      <c r="E16" s="16">
        <f>-(E89*Assumptions!$H$30*(1+Assumptions!$H$13)-Assumptions!$H$12*E92)</f>
        <v>-67990.118143686006</v>
      </c>
      <c r="F16" s="16">
        <f>-(F89*Assumptions!$H$30*(1+Assumptions!$H$13)-Assumptions!$H$12*F92)</f>
        <v>-57328.801895940989</v>
      </c>
      <c r="G16" s="16">
        <f>-(G89*Assumptions!$H$30*(1+Assumptions!$H$13)-Assumptions!$H$12*G92)</f>
        <v>-42931.842499918581</v>
      </c>
      <c r="H16" s="16">
        <f>-(H89*Assumptions!$H$30*(1+Assumptions!$H$13)-Assumptions!$H$12*H92)</f>
        <v>-41340.637728698784</v>
      </c>
      <c r="I16" s="16">
        <f>-(I89*Assumptions!$H$30*(1+Assumptions!$H$13)-Assumptions!$H$12*I92)</f>
        <v>-90134.656775679105</v>
      </c>
      <c r="J16" s="16">
        <f>-(J89*Assumptions!$H$30*(1+Assumptions!$H$13)-Assumptions!$H$12*J92)</f>
        <v>-202965.67784131513</v>
      </c>
      <c r="K16" s="16">
        <f>-(K89*Assumptions!$H$30*(1+Assumptions!$H$13)-Assumptions!$H$12*K92)</f>
        <v>-242493.35532465868</v>
      </c>
      <c r="L16" s="16">
        <f>-(L89*Assumptions!$H$30*(1+Assumptions!$H$13)-Assumptions!$H$12*L92)</f>
        <v>-234713.8783242286</v>
      </c>
      <c r="M16" s="16">
        <f>-(M89*Assumptions!$H$30*(1+Assumptions!$H$13)-Assumptions!$H$12*M92)</f>
        <v>-221503.14189642412</v>
      </c>
      <c r="N16" s="16">
        <f>-(N89*Assumptions!$H$30*(1+Assumptions!$H$13)-Assumptions!$H$12*N92)</f>
        <v>-193210.29855449876</v>
      </c>
      <c r="O16" s="16">
        <f>-(O89*Assumptions!$H$30*(1+Assumptions!$H$13)-Assumptions!$H$12*O92)</f>
        <v>-136036.46586171072</v>
      </c>
      <c r="P16" s="16">
        <f t="shared" si="0"/>
        <v>-1622603.4277641415</v>
      </c>
    </row>
    <row r="17" spans="1:16" x14ac:dyDescent="0.2">
      <c r="A17" s="8" t="s">
        <v>209</v>
      </c>
      <c r="B17" t="s">
        <v>210</v>
      </c>
      <c r="D17" s="16">
        <f>-(Drivers!D7*Assumptions!$H$8*Assumptions!$H$31*(1+Assumptions!$H$13)-Assumptions!$H$12*D93)</f>
        <v>-13229.129543632858</v>
      </c>
      <c r="E17" s="16">
        <f>-(Drivers!E7*Assumptions!$H$8*Assumptions!$H$31*(1+Assumptions!$H$13)-Assumptions!$H$12*E93)</f>
        <v>-7091.1138117721503</v>
      </c>
      <c r="F17" s="16">
        <f>-(Drivers!F7*Assumptions!$H$8*Assumptions!$H$31*(1+Assumptions!$H$13)-Assumptions!$H$12*F93)</f>
        <v>-8898.6367896042575</v>
      </c>
      <c r="G17" s="16">
        <f>-(Drivers!G7*Assumptions!$H$8*Assumptions!$H$31*(1+Assumptions!$H$13)-Assumptions!$H$12*G93)</f>
        <v>-8836.3303613784392</v>
      </c>
      <c r="H17" s="16">
        <f>-(Drivers!H7*Assumptions!$H$8*Assumptions!$H$31*(1+Assumptions!$H$13)-Assumptions!$H$12*H93)</f>
        <v>-6486.1497557550256</v>
      </c>
      <c r="I17" s="16">
        <f>-(Drivers!I7*Assumptions!$H$8*Assumptions!$H$31*(1+Assumptions!$H$13)-Assumptions!$H$12*I93)</f>
        <v>-11898.991765760449</v>
      </c>
      <c r="J17" s="16">
        <f>-(Drivers!J7*Assumptions!$H$8*Assumptions!$H$31*(1+Assumptions!$H$13)-Assumptions!$H$12*J93)</f>
        <v>-16761.98380585069</v>
      </c>
      <c r="K17" s="16">
        <f>-(Drivers!K7*Assumptions!$H$8*Assumptions!$H$31*(1+Assumptions!$H$13)-Assumptions!$H$12*K93)</f>
        <v>-21482.682017629599</v>
      </c>
      <c r="L17" s="16">
        <f>-(Drivers!L7*Assumptions!$H$8*Assumptions!$H$31*(1+Assumptions!$H$13)-Assumptions!$H$12*L93)</f>
        <v>-29730.773563030147</v>
      </c>
      <c r="M17" s="16">
        <f>-(Drivers!M7*Assumptions!$H$8*Assumptions!$H$31*(1+Assumptions!$H$13)-Assumptions!$H$12*M93)</f>
        <v>-22199.623778477213</v>
      </c>
      <c r="N17" s="16">
        <f>-(Drivers!N7*Assumptions!$H$8*Assumptions!$H$31*(1+Assumptions!$H$13)-Assumptions!$H$12*N93)</f>
        <v>-20220.490472141246</v>
      </c>
      <c r="O17" s="16">
        <f>-(Drivers!O7*Assumptions!$H$8*Assumptions!$H$31*(1+Assumptions!$H$13)-Assumptions!$H$12*O93)</f>
        <v>-16746.716815194814</v>
      </c>
      <c r="P17" s="16">
        <f t="shared" si="0"/>
        <v>-183582.62248022688</v>
      </c>
    </row>
    <row r="18" spans="1:16" x14ac:dyDescent="0.2">
      <c r="A18" s="8" t="s">
        <v>211</v>
      </c>
      <c r="B18" t="s">
        <v>212</v>
      </c>
      <c r="D18" s="16">
        <f>D94*Assumptions!$H$32</f>
        <v>-423.31078607158958</v>
      </c>
      <c r="E18" s="16">
        <f>E94*Assumptions!$H$32</f>
        <v>-302.16374417265922</v>
      </c>
      <c r="F18" s="16">
        <f>F94*Assumptions!$H$32</f>
        <v>-266.53173261809798</v>
      </c>
      <c r="G18" s="16">
        <f>G94*Assumptions!$H$32</f>
        <v>-208.34054707608985</v>
      </c>
      <c r="H18" s="16">
        <f>H94*Assumptions!$H$32</f>
        <v>-192.47847699976455</v>
      </c>
      <c r="I18" s="16">
        <f>I94*Assumptions!$H$32</f>
        <v>-410.63350283289088</v>
      </c>
      <c r="J18" s="16">
        <f>J94*Assumptions!$H$32</f>
        <v>-884.2920023075651</v>
      </c>
      <c r="K18" s="16">
        <f>K94*Assumptions!$H$32</f>
        <v>-1062.3691931763642</v>
      </c>
      <c r="L18" s="16">
        <f>L94*Assumptions!$H$32</f>
        <v>-1064.2551282069194</v>
      </c>
      <c r="M18" s="16">
        <f>M94*Assumptions!$H$32</f>
        <v>-980.77959329764508</v>
      </c>
      <c r="N18" s="16">
        <f>N94*Assumptions!$H$32</f>
        <v>-858.95029495884773</v>
      </c>
      <c r="O18" s="16">
        <f>O94*Assumptions!$H$32</f>
        <v>-614.87454749885808</v>
      </c>
      <c r="P18" s="16">
        <f t="shared" si="0"/>
        <v>-7268.9795492172925</v>
      </c>
    </row>
    <row r="19" spans="1:16" x14ac:dyDescent="0.2">
      <c r="A19" s="8" t="s">
        <v>213</v>
      </c>
      <c r="B19" t="s">
        <v>214</v>
      </c>
      <c r="D19" s="16">
        <f>-D10*Assumptions!$H$33</f>
        <v>-10430.573390063939</v>
      </c>
      <c r="E19" s="16">
        <f>-E10*Assumptions!$H$33</f>
        <v>-6111.2408709948577</v>
      </c>
      <c r="F19" s="16">
        <f>-F10*Assumptions!$H$33</f>
        <v>-5004.9224736540054</v>
      </c>
      <c r="G19" s="16">
        <f>-G10*Assumptions!$H$33</f>
        <v>-8105.7440560950618</v>
      </c>
      <c r="H19" s="16">
        <f>-H10*Assumptions!$H$33</f>
        <v>-9656.0845917173538</v>
      </c>
      <c r="I19" s="16">
        <f>-I10*Assumptions!$H$33</f>
        <v>-13709.341766534133</v>
      </c>
      <c r="J19" s="16">
        <f>-J10*Assumptions!$H$33</f>
        <v>-18267.810608387495</v>
      </c>
      <c r="K19" s="16">
        <f>-K10*Assumptions!$H$33</f>
        <v>-19623.137061898404</v>
      </c>
      <c r="L19" s="16">
        <f>-L10*Assumptions!$H$33</f>
        <v>-19985.698675749769</v>
      </c>
      <c r="M19" s="16">
        <f>-M10*Assumptions!$H$33</f>
        <v>-16999.038340759042</v>
      </c>
      <c r="N19" s="16">
        <f>-N10*Assumptions!$H$33</f>
        <v>-14104.415026485931</v>
      </c>
      <c r="O19" s="16">
        <f>-O10*Assumptions!$H$33</f>
        <v>-13097.775792801629</v>
      </c>
      <c r="P19" s="16">
        <f t="shared" si="0"/>
        <v>-155095.78265514164</v>
      </c>
    </row>
    <row r="20" spans="1:16" x14ac:dyDescent="0.2">
      <c r="A20" s="8" t="s">
        <v>215</v>
      </c>
      <c r="B20" t="s">
        <v>216</v>
      </c>
      <c r="D20" s="16">
        <f>-MIN(Drivers!D10,D10*Assumptions!$H$34)</f>
        <v>-8051.9768813249993</v>
      </c>
      <c r="E20" s="16">
        <f>-MIN(Drivers!E10,E10*Assumptions!$H$34)</f>
        <v>-4717.6284916736886</v>
      </c>
      <c r="F20" s="16">
        <f>-MIN(Drivers!F10,F10*Assumptions!$H$34)</f>
        <v>-3863.5958488221654</v>
      </c>
      <c r="G20" s="16">
        <f>-MIN(Drivers!G10,G10*Assumptions!$H$34)</f>
        <v>-6257.3035349895445</v>
      </c>
      <c r="H20" s="16">
        <f>-MIN(Drivers!H10,H10*Assumptions!$H$34)</f>
        <v>-7454.1031436192279</v>
      </c>
      <c r="I20" s="16">
        <f>-MIN(Drivers!I10,I10*Assumptions!$H$34)</f>
        <v>-10583.052228698176</v>
      </c>
      <c r="J20" s="16">
        <f>-MIN(Drivers!J10,J10*Assumptions!$H$34)</f>
        <v>-14102.004097998875</v>
      </c>
      <c r="K20" s="16">
        <f>-MIN(Drivers!K10,K10*Assumptions!$H$34)</f>
        <v>-15148.260795709637</v>
      </c>
      <c r="L20" s="16">
        <f>-MIN(Drivers!L10,L10*Assumptions!$H$34)</f>
        <v>-15428.143561844814</v>
      </c>
      <c r="M20" s="16">
        <f>-MIN(Drivers!M10,M10*Assumptions!$H$34)</f>
        <v>-13122.563698649172</v>
      </c>
      <c r="N20" s="16">
        <f>-MIN(Drivers!N10,N10*Assumptions!$H$34)</f>
        <v>-10888.032658498121</v>
      </c>
      <c r="O20" s="16">
        <f>-MIN(Drivers!O10,O10*Assumptions!$H$34)</f>
        <v>-10110.948261087922</v>
      </c>
      <c r="P20" s="16">
        <f t="shared" si="0"/>
        <v>-119727.61320291636</v>
      </c>
    </row>
    <row r="21" spans="1:16" x14ac:dyDescent="0.2">
      <c r="A21" s="17" t="s">
        <v>217</v>
      </c>
      <c r="B21" s="17" t="s">
        <v>218</v>
      </c>
      <c r="C21" s="17"/>
      <c r="D21" s="18">
        <f t="shared" ref="D21:O21" si="4">D94+D18+D19+D20</f>
        <v>-124089.54351847548</v>
      </c>
      <c r="E21" s="18">
        <f t="shared" si="4"/>
        <v>-86212.265062299368</v>
      </c>
      <c r="F21" s="18">
        <f t="shared" si="4"/>
        <v>-75362.488740639514</v>
      </c>
      <c r="G21" s="18">
        <f t="shared" si="4"/>
        <v>-66339.560999457724</v>
      </c>
      <c r="H21" s="18">
        <f t="shared" si="4"/>
        <v>-65129.453696790151</v>
      </c>
      <c r="I21" s="18">
        <f t="shared" si="4"/>
        <v>-126736.67603950475</v>
      </c>
      <c r="J21" s="18">
        <f t="shared" si="4"/>
        <v>-252981.76835585976</v>
      </c>
      <c r="K21" s="18">
        <f t="shared" si="4"/>
        <v>-299809.80439307273</v>
      </c>
      <c r="L21" s="18">
        <f t="shared" si="4"/>
        <v>-300922.74925306026</v>
      </c>
      <c r="M21" s="18">
        <f t="shared" si="4"/>
        <v>-274805.14730760723</v>
      </c>
      <c r="N21" s="18">
        <f t="shared" si="4"/>
        <v>-239282.18700658288</v>
      </c>
      <c r="O21" s="18">
        <f t="shared" si="4"/>
        <v>-176606.78127829396</v>
      </c>
      <c r="P21" s="18">
        <f t="shared" si="0"/>
        <v>-2088278.4256516439</v>
      </c>
    </row>
    <row r="22" spans="1:16" x14ac:dyDescent="0.2">
      <c r="A22" s="17" t="s">
        <v>219</v>
      </c>
      <c r="B22" s="17" t="s">
        <v>220</v>
      </c>
      <c r="C22" s="17"/>
      <c r="D22" s="18">
        <f t="shared" ref="D22:O22" si="5">D15+D21</f>
        <v>73801.833490741192</v>
      </c>
      <c r="E22" s="18">
        <f t="shared" si="5"/>
        <v>48195.257789433308</v>
      </c>
      <c r="F22" s="18">
        <f t="shared" si="5"/>
        <v>42309.688013354869</v>
      </c>
      <c r="G22" s="18">
        <f t="shared" si="5"/>
        <v>45355.141129176787</v>
      </c>
      <c r="H22" s="18">
        <f t="shared" si="5"/>
        <v>47378.242840568651</v>
      </c>
      <c r="I22" s="18">
        <f t="shared" si="5"/>
        <v>81272.349650457487</v>
      </c>
      <c r="J22" s="18">
        <f t="shared" si="5"/>
        <v>140796.63479821381</v>
      </c>
      <c r="K22" s="18">
        <f t="shared" si="5"/>
        <v>163130.6837360221</v>
      </c>
      <c r="L22" s="18">
        <f t="shared" si="5"/>
        <v>167034.83228935319</v>
      </c>
      <c r="M22" s="18">
        <f t="shared" si="5"/>
        <v>148274.64358268259</v>
      </c>
      <c r="N22" s="18">
        <f t="shared" si="5"/>
        <v>127934.77692029343</v>
      </c>
      <c r="O22" s="18">
        <f t="shared" si="5"/>
        <v>100676.81269727522</v>
      </c>
      <c r="P22" s="18">
        <f t="shared" si="0"/>
        <v>1186160.8969375729</v>
      </c>
    </row>
    <row r="23" spans="1:16" x14ac:dyDescent="0.2">
      <c r="A23" s="8" t="s">
        <v>221</v>
      </c>
      <c r="B23" t="s">
        <v>222</v>
      </c>
      <c r="D23" s="16">
        <f>-(Drivers!D9+D95+Drivers!D10+D20)</f>
        <v>-32839.36744115589</v>
      </c>
      <c r="E23" s="16">
        <f>-(Drivers!E9+E95+Drivers!E10+E20)</f>
        <v>-33279.867601632286</v>
      </c>
      <c r="F23" s="16">
        <f>-(Drivers!F9+F95+Drivers!F10+F20)</f>
        <v>-33911.859778754071</v>
      </c>
      <c r="G23" s="16">
        <f>-(Drivers!G9+G95+Drivers!G10+G20)</f>
        <v>-33613.054176810292</v>
      </c>
      <c r="H23" s="16">
        <f>-(Drivers!H9+H95+Drivers!H10+H20)</f>
        <v>-28790.992173999766</v>
      </c>
      <c r="I23" s="16">
        <f>-(Drivers!I9+I95+Drivers!I10+I20)</f>
        <v>-30270.392576298898</v>
      </c>
      <c r="J23" s="16">
        <f>-(Drivers!J9+J95+Drivers!J10+J20)</f>
        <v>-45929.282704406476</v>
      </c>
      <c r="K23" s="16">
        <f>-(Drivers!K9+K95+Drivers!K10+K20)</f>
        <v>-45706.25868394351</v>
      </c>
      <c r="L23" s="16">
        <f>-(Drivers!L9+L95+Drivers!L10+L20)</f>
        <v>-47182.73857643416</v>
      </c>
      <c r="M23" s="16">
        <f>-(Drivers!M9+M95+Drivers!M10+M20)</f>
        <v>-49213.1818101596</v>
      </c>
      <c r="N23" s="16">
        <f>-(Drivers!N9+N95+Drivers!N10+N20)</f>
        <v>-50858.472820574345</v>
      </c>
      <c r="O23" s="16">
        <f>-(Drivers!O9+O95+Drivers!O10+O20)</f>
        <v>-48526.420549271148</v>
      </c>
      <c r="P23" s="16">
        <f t="shared" si="0"/>
        <v>-480121.88889344048</v>
      </c>
    </row>
    <row r="24" spans="1:16" x14ac:dyDescent="0.2">
      <c r="A24" s="8" t="s">
        <v>223</v>
      </c>
      <c r="B24" t="s">
        <v>224</v>
      </c>
      <c r="D24" s="16">
        <f>-Drivers!D11</f>
        <v>-20157.099999999999</v>
      </c>
      <c r="E24" s="16">
        <f>-Drivers!E11</f>
        <v>-20157.099999999999</v>
      </c>
      <c r="F24" s="16">
        <f>-Drivers!F11</f>
        <v>-20157.099999999999</v>
      </c>
      <c r="G24" s="16">
        <f>-Drivers!G11</f>
        <v>-20761.812999999998</v>
      </c>
      <c r="H24" s="16">
        <f>-Drivers!H11</f>
        <v>-20761.812999999998</v>
      </c>
      <c r="I24" s="16">
        <f>-Drivers!I11</f>
        <v>-20761.812999999998</v>
      </c>
      <c r="J24" s="16">
        <f>-Drivers!J11</f>
        <v>-20761.812999999998</v>
      </c>
      <c r="K24" s="16">
        <f>-Drivers!K11</f>
        <v>-20761.812999999998</v>
      </c>
      <c r="L24" s="16">
        <f>-Drivers!L11</f>
        <v>-20761.812999999998</v>
      </c>
      <c r="M24" s="16">
        <f>-Drivers!M11</f>
        <v>-20761.812999999998</v>
      </c>
      <c r="N24" s="16">
        <f>-Drivers!N11</f>
        <v>-20761.812999999998</v>
      </c>
      <c r="O24" s="16">
        <f>-Drivers!O11</f>
        <v>-20761.812999999998</v>
      </c>
      <c r="P24" s="16">
        <f t="shared" si="0"/>
        <v>-247327.61699999997</v>
      </c>
    </row>
    <row r="25" spans="1:16" x14ac:dyDescent="0.2">
      <c r="A25" s="8" t="s">
        <v>225</v>
      </c>
      <c r="B25" t="s">
        <v>226</v>
      </c>
      <c r="D25" s="16">
        <f>-Drivers!D12</f>
        <v>-1546.8787500000001</v>
      </c>
      <c r="E25" s="16">
        <f>-Drivers!E12</f>
        <v>-1857.0540000000001</v>
      </c>
      <c r="F25" s="16">
        <f>-Drivers!F12</f>
        <v>-2290.4137500000002</v>
      </c>
      <c r="G25" s="16">
        <f>-Drivers!G12</f>
        <v>-2197.1695</v>
      </c>
      <c r="H25" s="16">
        <f>-Drivers!H12</f>
        <v>-2085.8339999999998</v>
      </c>
      <c r="I25" s="16">
        <f>-Drivers!I12</f>
        <v>-1961.932</v>
      </c>
      <c r="J25" s="16">
        <f>-Drivers!J12</f>
        <v>-1760.93975</v>
      </c>
      <c r="K25" s="16">
        <f>-Drivers!K12</f>
        <v>-1216.78775</v>
      </c>
      <c r="L25" s="16">
        <f>-Drivers!L12</f>
        <v>-1299.3412499999999</v>
      </c>
      <c r="M25" s="16">
        <f>-Drivers!M12</f>
        <v>-1198.6042500000001</v>
      </c>
      <c r="N25" s="16">
        <f>-Drivers!N12</f>
        <v>-1079.0585000000001</v>
      </c>
      <c r="O25" s="16">
        <f>-Drivers!O12</f>
        <v>-1240.1679999999999</v>
      </c>
      <c r="P25" s="16">
        <f t="shared" si="0"/>
        <v>-19734.181499999999</v>
      </c>
    </row>
    <row r="26" spans="1:16" x14ac:dyDescent="0.2">
      <c r="A26" s="8" t="s">
        <v>227</v>
      </c>
      <c r="B26" t="s">
        <v>228</v>
      </c>
      <c r="D26" s="16">
        <f>-Drivers!D13</f>
        <v>-5903.9668000000001</v>
      </c>
      <c r="E26" s="16">
        <f>-Drivers!E13</f>
        <v>-5074.0080000000007</v>
      </c>
      <c r="F26" s="16">
        <f>-Drivers!F13</f>
        <v>-5157.6737999999996</v>
      </c>
      <c r="G26" s="16">
        <f>-Drivers!G13</f>
        <v>-5029.8589999999986</v>
      </c>
      <c r="H26" s="16">
        <f>-Drivers!H13</f>
        <v>-5430.009</v>
      </c>
      <c r="I26" s="16">
        <f>-Drivers!I13</f>
        <v>-6559.4602000000004</v>
      </c>
      <c r="J26" s="16">
        <f>-Drivers!J13</f>
        <v>-8211.9789999999994</v>
      </c>
      <c r="K26" s="16">
        <f>-Drivers!K13</f>
        <v>-10437.502</v>
      </c>
      <c r="L26" s="16">
        <f>-Drivers!L13</f>
        <v>-10167.626</v>
      </c>
      <c r="M26" s="16">
        <f>-Drivers!M13</f>
        <v>-9170.865600000001</v>
      </c>
      <c r="N26" s="16">
        <f>-Drivers!N13</f>
        <v>-8276.5542000000005</v>
      </c>
      <c r="O26" s="16">
        <f>-Drivers!O13</f>
        <v>-8066.0382000000009</v>
      </c>
      <c r="P26" s="16">
        <f t="shared" si="0"/>
        <v>-87485.541799999992</v>
      </c>
    </row>
    <row r="27" spans="1:16" x14ac:dyDescent="0.2">
      <c r="A27" s="8" t="s">
        <v>229</v>
      </c>
      <c r="B27" t="s">
        <v>230</v>
      </c>
      <c r="D27" s="16">
        <f>-(Drivers!D14+Drivers!D16+Assumptions!$H$59)</f>
        <v>-6359.0252291666657</v>
      </c>
      <c r="E27" s="16">
        <f>-(Drivers!E14+Drivers!E16+Assumptions!$H$59)</f>
        <v>-6359.0252291666657</v>
      </c>
      <c r="F27" s="16">
        <f>-(Drivers!F14+Drivers!F16+Assumptions!$H$59)</f>
        <v>-6359.0252291666657</v>
      </c>
      <c r="G27" s="16">
        <f>-(Drivers!G14+Drivers!G16+Assumptions!$H$59)</f>
        <v>-6458.5324291666657</v>
      </c>
      <c r="H27" s="16">
        <f>-(Drivers!H14+Drivers!H16+Assumptions!$H$59)</f>
        <v>-6458.5324291666657</v>
      </c>
      <c r="I27" s="16">
        <f>-(Drivers!I14+Drivers!I16+Assumptions!$H$59)</f>
        <v>-6458.5324291666657</v>
      </c>
      <c r="J27" s="16">
        <f>-(Drivers!J14+Drivers!J16+Assumptions!$H$59)</f>
        <v>-6458.5324291666657</v>
      </c>
      <c r="K27" s="16">
        <f>-(Drivers!K14+Drivers!K16+Assumptions!$H$59)</f>
        <v>-6458.5324291666657</v>
      </c>
      <c r="L27" s="16">
        <f>-(Drivers!L14+Drivers!L16+Assumptions!$H$59)</f>
        <v>-6458.5324291666657</v>
      </c>
      <c r="M27" s="16">
        <f>-(Drivers!M14+Drivers!M16+Assumptions!$H$59)</f>
        <v>-6458.5324291666657</v>
      </c>
      <c r="N27" s="16">
        <f>-(Drivers!N14+Drivers!N16+Assumptions!$H$59)</f>
        <v>-6458.5324291666657</v>
      </c>
      <c r="O27" s="16">
        <f>-(Drivers!O14+Drivers!O16+Assumptions!$H$59)</f>
        <v>-6458.5324291666657</v>
      </c>
      <c r="P27" s="16">
        <f t="shared" si="0"/>
        <v>-77203.867549999966</v>
      </c>
    </row>
    <row r="28" spans="1:16" x14ac:dyDescent="0.2">
      <c r="A28" s="8" t="s">
        <v>231</v>
      </c>
      <c r="B28" t="s">
        <v>232</v>
      </c>
      <c r="D28" s="16">
        <f>-Assumptions!$H$36*D99</f>
        <v>-4640.5706611876894</v>
      </c>
      <c r="E28" s="16">
        <f>-Assumptions!$H$36*E99</f>
        <v>-3730.7239437188146</v>
      </c>
      <c r="F28" s="16">
        <f>-Assumptions!$H$36*F99</f>
        <v>-5410.544530843531</v>
      </c>
      <c r="G28" s="16">
        <f>-Assumptions!$H$36*G99</f>
        <v>-3507.9876021409154</v>
      </c>
      <c r="H28" s="16">
        <f>-Assumptions!$H$36*H99</f>
        <v>-2526.9975380144119</v>
      </c>
      <c r="I28" s="16">
        <f>-Assumptions!$H$36*I99</f>
        <v>-6565.2089740924439</v>
      </c>
      <c r="J28" s="16">
        <f>-Assumptions!$H$36*J99</f>
        <v>-5414.0229142086373</v>
      </c>
      <c r="K28" s="16">
        <f>-Assumptions!$H$36*K99</f>
        <v>-4766.4334590981844</v>
      </c>
      <c r="L28" s="16">
        <f>-Assumptions!$H$36*L99</f>
        <v>-7572.4399785802698</v>
      </c>
      <c r="M28" s="16">
        <f>-Assumptions!$H$36*M99</f>
        <v>-10096.903058599086</v>
      </c>
      <c r="N28" s="16">
        <f>-Assumptions!$H$36*N99</f>
        <v>-8883.4075285299459</v>
      </c>
      <c r="O28" s="16">
        <f>-Assumptions!$H$36*O99</f>
        <v>-6424.0396106880808</v>
      </c>
      <c r="P28" s="16">
        <f t="shared" si="0"/>
        <v>-69539.27979970201</v>
      </c>
    </row>
    <row r="29" spans="1:16" x14ac:dyDescent="0.2">
      <c r="A29" s="8" t="s">
        <v>233</v>
      </c>
      <c r="B29" t="s">
        <v>234</v>
      </c>
      <c r="D29" s="16">
        <f>-Assumptions!$H$37*D15</f>
        <v>-3945.3591933291004</v>
      </c>
      <c r="E29" s="16">
        <f>-Assumptions!$H$37*E15</f>
        <v>-2679.6819747784002</v>
      </c>
      <c r="F29" s="16">
        <f>-Assumptions!$H$37*F15</f>
        <v>-2346.0294802728872</v>
      </c>
      <c r="G29" s="16">
        <f>-Assumptions!$H$37*G15</f>
        <v>-2226.8566046151641</v>
      </c>
      <c r="H29" s="16">
        <f>-Assumptions!$H$37*H15</f>
        <v>-2243.0652692526141</v>
      </c>
      <c r="I29" s="16">
        <f>-Assumptions!$H$37*I15</f>
        <v>-4147.0746942303567</v>
      </c>
      <c r="J29" s="16">
        <f>-Assumptions!$H$37*J15</f>
        <v>-7850.7576555294736</v>
      </c>
      <c r="K29" s="16">
        <f>-Assumptions!$H$37*K15</f>
        <v>-9229.6417277409673</v>
      </c>
      <c r="L29" s="16">
        <f>-Assumptions!$H$37*L15</f>
        <v>-9329.6674889498827</v>
      </c>
      <c r="M29" s="16">
        <f>-Assumptions!$H$37*M15</f>
        <v>-8434.9392466101053</v>
      </c>
      <c r="N29" s="16">
        <f>-Assumptions!$H$37*N15</f>
        <v>-7321.2024013953114</v>
      </c>
      <c r="O29" s="16">
        <f>-Assumptions!$H$37*O15</f>
        <v>-5528.2013455285314</v>
      </c>
      <c r="P29" s="16">
        <f t="shared" si="0"/>
        <v>-65282.477082232799</v>
      </c>
    </row>
    <row r="30" spans="1:16" x14ac:dyDescent="0.2">
      <c r="A30" s="8" t="s">
        <v>235</v>
      </c>
      <c r="B30" t="s">
        <v>236</v>
      </c>
      <c r="D30" s="16">
        <f>-Assumptions!$H$38/12*(C43+D43)/2</f>
        <v>-3508.88076565961</v>
      </c>
      <c r="E30" s="16">
        <f>-Assumptions!$H$38/12*(D43+E43)/2</f>
        <v>-3706.7959190172201</v>
      </c>
      <c r="F30" s="16">
        <f>-Assumptions!$H$38/12*(E43+F43)/2</f>
        <v>-4201.7155560926631</v>
      </c>
      <c r="G30" s="16">
        <f>-Assumptions!$H$38/12*(F43+G43)/2</f>
        <v>-4784.3254476846187</v>
      </c>
      <c r="H30" s="16">
        <f>-Assumptions!$H$38/12*(G43+H43)/2</f>
        <v>-5079.4191008620455</v>
      </c>
      <c r="I30" s="16">
        <f>-Assumptions!$H$38/12*(H43+I43)/2</f>
        <v>-5524.9442136432954</v>
      </c>
      <c r="J30" s="16">
        <f>-Assumptions!$H$38/12*(I43+J43)/2</f>
        <v>-5487.8539045137886</v>
      </c>
      <c r="K30" s="16">
        <f>-Assumptions!$H$38/12*(J43+K43)/2</f>
        <v>-4400.8152501306449</v>
      </c>
      <c r="L30" s="16">
        <f>-Assumptions!$H$38/12*(K43+L43)/2</f>
        <v>-3373.6501362764579</v>
      </c>
      <c r="M30" s="16">
        <f>-Assumptions!$H$38/12*(L43+M43)/2</f>
        <v>-3150.5162455345635</v>
      </c>
      <c r="N30" s="16">
        <f>-Assumptions!$H$38/12*(M43+N43)/2</f>
        <v>-3356.1901865368918</v>
      </c>
      <c r="O30" s="16">
        <f>-Assumptions!$H$38/12*(N43+O43)/2</f>
        <v>-3534.4141696185202</v>
      </c>
      <c r="P30" s="16">
        <f t="shared" si="0"/>
        <v>-50109.52089557032</v>
      </c>
    </row>
    <row r="31" spans="1:16" x14ac:dyDescent="0.2">
      <c r="A31" s="17" t="s">
        <v>237</v>
      </c>
      <c r="B31" s="17" t="s">
        <v>238</v>
      </c>
      <c r="C31" s="17"/>
      <c r="D31" s="18">
        <f t="shared" ref="D31:O31" si="6">D23+D24+D25+D26+D27+D28+D29+D30</f>
        <v>-78901.148840498965</v>
      </c>
      <c r="E31" s="18">
        <f t="shared" si="6"/>
        <v>-76844.256668313392</v>
      </c>
      <c r="F31" s="18">
        <f t="shared" si="6"/>
        <v>-79834.362125129817</v>
      </c>
      <c r="G31" s="18">
        <f t="shared" si="6"/>
        <v>-78579.597760417659</v>
      </c>
      <c r="H31" s="18">
        <f t="shared" si="6"/>
        <v>-73376.662511295508</v>
      </c>
      <c r="I31" s="18">
        <f t="shared" si="6"/>
        <v>-82249.358087431654</v>
      </c>
      <c r="J31" s="18">
        <f t="shared" si="6"/>
        <v>-101875.18135782504</v>
      </c>
      <c r="K31" s="18">
        <f t="shared" si="6"/>
        <v>-102977.78430007996</v>
      </c>
      <c r="L31" s="18">
        <f t="shared" si="6"/>
        <v>-106145.80885940742</v>
      </c>
      <c r="M31" s="18">
        <f t="shared" si="6"/>
        <v>-108485.35564007002</v>
      </c>
      <c r="N31" s="18">
        <f t="shared" si="6"/>
        <v>-106995.23106620314</v>
      </c>
      <c r="O31" s="18">
        <f t="shared" si="6"/>
        <v>-100539.62730427294</v>
      </c>
      <c r="P31" s="18">
        <f t="shared" si="0"/>
        <v>-1096804.3745209454</v>
      </c>
    </row>
    <row r="32" spans="1:16" x14ac:dyDescent="0.2">
      <c r="A32" s="17" t="s">
        <v>239</v>
      </c>
      <c r="B32" s="17" t="s">
        <v>240</v>
      </c>
      <c r="C32" s="17"/>
      <c r="D32" s="18">
        <f t="shared" ref="D32:O32" si="7">D22+D31</f>
        <v>-5099.3153497577732</v>
      </c>
      <c r="E32" s="18">
        <f t="shared" si="7"/>
        <v>-28648.998878880084</v>
      </c>
      <c r="F32" s="18">
        <f t="shared" si="7"/>
        <v>-37524.674111774948</v>
      </c>
      <c r="G32" s="18">
        <f t="shared" si="7"/>
        <v>-33224.456631240872</v>
      </c>
      <c r="H32" s="18">
        <f t="shared" si="7"/>
        <v>-25998.419670726857</v>
      </c>
      <c r="I32" s="18">
        <f t="shared" si="7"/>
        <v>-977.00843697416713</v>
      </c>
      <c r="J32" s="18">
        <f t="shared" si="7"/>
        <v>38921.453440388766</v>
      </c>
      <c r="K32" s="18">
        <f t="shared" si="7"/>
        <v>60152.899435942134</v>
      </c>
      <c r="L32" s="18">
        <f t="shared" si="7"/>
        <v>60889.023429945766</v>
      </c>
      <c r="M32" s="18">
        <f t="shared" si="7"/>
        <v>39789.287942612573</v>
      </c>
      <c r="N32" s="18">
        <f t="shared" si="7"/>
        <v>20939.545854090291</v>
      </c>
      <c r="O32" s="18">
        <f t="shared" si="7"/>
        <v>137.18539300227712</v>
      </c>
      <c r="P32" s="18">
        <f t="shared" si="0"/>
        <v>89356.522416627107</v>
      </c>
    </row>
    <row r="33" spans="1:16" x14ac:dyDescent="0.2">
      <c r="A33" s="8" t="s">
        <v>241</v>
      </c>
      <c r="B33" t="s">
        <v>242</v>
      </c>
      <c r="D33" s="16">
        <f>-(Drivers!D18+C121/Assumptions!$H$58)</f>
        <v>-3712.19</v>
      </c>
      <c r="E33" s="16">
        <f>-(Drivers!E18+D121/Assumptions!$H$58)</f>
        <v>-3101.04</v>
      </c>
      <c r="F33" s="16">
        <f>-(Drivers!F18+E121/Assumptions!$H$58)</f>
        <v>-3101.04</v>
      </c>
      <c r="G33" s="16">
        <f>-(Drivers!G18+F121/Assumptions!$H$58)</f>
        <v>-3101.04</v>
      </c>
      <c r="H33" s="16">
        <f>-(Drivers!H18+G121/Assumptions!$H$58)</f>
        <v>-3201.04</v>
      </c>
      <c r="I33" s="16">
        <f>-(Drivers!I18+H121/Assumptions!$H$58)</f>
        <v>-3201.04</v>
      </c>
      <c r="J33" s="16">
        <f>-(Drivers!J18+I121/Assumptions!$H$58)</f>
        <v>-3401.04</v>
      </c>
      <c r="K33" s="16">
        <f>-(Drivers!K18+J121/Assumptions!$H$58)</f>
        <v>-3401.04</v>
      </c>
      <c r="L33" s="16">
        <f>-(Drivers!L18+K121/Assumptions!$H$58)</f>
        <v>-3401.04</v>
      </c>
      <c r="M33" s="16">
        <f>-(Drivers!M18+L121/Assumptions!$H$58)</f>
        <v>-3401.04</v>
      </c>
      <c r="N33" s="16">
        <f>-(Drivers!N18+M121/Assumptions!$H$58)</f>
        <v>-3401.04</v>
      </c>
      <c r="O33" s="16">
        <f>-(Drivers!O18+N121/Assumptions!$H$58)</f>
        <v>-3401.04</v>
      </c>
      <c r="P33" s="16">
        <f t="shared" si="0"/>
        <v>-39823.630000000005</v>
      </c>
    </row>
    <row r="34" spans="1:16" x14ac:dyDescent="0.2">
      <c r="A34" s="17" t="s">
        <v>243</v>
      </c>
      <c r="B34" s="17" t="s">
        <v>244</v>
      </c>
      <c r="C34" s="17"/>
      <c r="D34" s="18">
        <f t="shared" ref="D34:O34" si="8">D32+D33</f>
        <v>-8811.5053497577737</v>
      </c>
      <c r="E34" s="18">
        <f t="shared" si="8"/>
        <v>-31750.038878880085</v>
      </c>
      <c r="F34" s="18">
        <f t="shared" si="8"/>
        <v>-40625.714111774949</v>
      </c>
      <c r="G34" s="18">
        <f t="shared" si="8"/>
        <v>-36325.496631240872</v>
      </c>
      <c r="H34" s="18">
        <f t="shared" si="8"/>
        <v>-29199.459670726857</v>
      </c>
      <c r="I34" s="18">
        <f t="shared" si="8"/>
        <v>-4178.0484369741671</v>
      </c>
      <c r="J34" s="18">
        <f t="shared" si="8"/>
        <v>35520.413440388766</v>
      </c>
      <c r="K34" s="18">
        <f t="shared" si="8"/>
        <v>56751.859435942133</v>
      </c>
      <c r="L34" s="18">
        <f t="shared" si="8"/>
        <v>57487.983429945765</v>
      </c>
      <c r="M34" s="18">
        <f t="shared" si="8"/>
        <v>36388.247942612572</v>
      </c>
      <c r="N34" s="18">
        <f t="shared" si="8"/>
        <v>17538.50585409029</v>
      </c>
      <c r="O34" s="18">
        <f t="shared" si="8"/>
        <v>-3263.8546069977228</v>
      </c>
      <c r="P34" s="18">
        <f t="shared" si="0"/>
        <v>49532.892416627095</v>
      </c>
    </row>
    <row r="35" spans="1:16" x14ac:dyDescent="0.2">
      <c r="A35" s="8" t="s">
        <v>245</v>
      </c>
      <c r="B35" t="s">
        <v>246</v>
      </c>
      <c r="D35" s="16">
        <f>-(C113*(Assumptions!$H$47+Assumptions!$H$16+Assumptions!$H$48)+C56*(Assumptions!$H$47+Assumptions!$H$16+Assumptions!$H$49))/12</f>
        <v>-628.12438583333335</v>
      </c>
      <c r="E35" s="16">
        <f>-(D113*(Assumptions!$H$47+Assumptions!$H$16+Assumptions!$H$48)+D56*(Assumptions!$H$47+Assumptions!$H$16+Assumptions!$H$49))/12</f>
        <v>-604.86047833333339</v>
      </c>
      <c r="F35" s="16">
        <f>-(E113*(Assumptions!$H$47+Assumptions!$H$16+Assumptions!$H$48)+E56*(Assumptions!$H$47+Assumptions!$H$16+Assumptions!$H$49))/12</f>
        <v>-581.59657083333343</v>
      </c>
      <c r="G35" s="16">
        <f>-(F113*(Assumptions!$H$47+Assumptions!$H$16+Assumptions!$H$48)+F56*(Assumptions!$H$47+Assumptions!$H$16+Assumptions!$H$49))/12</f>
        <v>-558.33266333333336</v>
      </c>
      <c r="H35" s="16">
        <f>-(G113*(Assumptions!$H$47+Assumptions!$H$16+Assumptions!$H$48)+G56*(Assumptions!$H$47+Assumptions!$H$16+Assumptions!$H$49))/12</f>
        <v>-1130.0270891666667</v>
      </c>
      <c r="I35" s="16">
        <f>-(H113*(Assumptions!$H$47+Assumptions!$H$16+Assumptions!$H$48)+H56*(Assumptions!$H$47+Assumptions!$H$16+Assumptions!$H$49))/12</f>
        <v>-1406.5131816666669</v>
      </c>
      <c r="J35" s="16">
        <f>-(I113*(Assumptions!$H$47+Assumptions!$H$16+Assumptions!$H$48)+I56*(Assumptions!$H$47+Assumptions!$H$16+Assumptions!$H$49))/12</f>
        <v>-1383.2492741666667</v>
      </c>
      <c r="K35" s="16">
        <f>-(J113*(Assumptions!$H$47+Assumptions!$H$16+Assumptions!$H$48)+J56*(Assumptions!$H$47+Assumptions!$H$16+Assumptions!$H$49))/12</f>
        <v>-928.52703333333341</v>
      </c>
      <c r="L35" s="16">
        <f>-(K113*(Assumptions!$H$47+Assumptions!$H$16+Assumptions!$H$48)+K56*(Assumptions!$H$47+Assumptions!$H$16+Assumptions!$H$49))/12</f>
        <v>-442.01312583333339</v>
      </c>
      <c r="M35" s="16">
        <f>-(L113*(Assumptions!$H$47+Assumptions!$H$16+Assumptions!$H$48)+L56*(Assumptions!$H$47+Assumptions!$H$16+Assumptions!$H$49))/12</f>
        <v>-418.74921833333343</v>
      </c>
      <c r="N35" s="16">
        <f>-(M113*(Assumptions!$H$47+Assumptions!$H$16+Assumptions!$H$48)+M56*(Assumptions!$H$47+Assumptions!$H$16+Assumptions!$H$49))/12</f>
        <v>-395.48531083333341</v>
      </c>
      <c r="O35" s="16">
        <f>-(N113*(Assumptions!$H$47+Assumptions!$H$16+Assumptions!$H$48)+N56*(Assumptions!$H$47+Assumptions!$H$16+Assumptions!$H$49))/12</f>
        <v>-372.22140333333346</v>
      </c>
      <c r="P35" s="16">
        <f t="shared" si="0"/>
        <v>-8849.6997350000001</v>
      </c>
    </row>
    <row r="36" spans="1:16" x14ac:dyDescent="0.2">
      <c r="A36" s="17" t="s">
        <v>247</v>
      </c>
      <c r="B36" s="17" t="s">
        <v>248</v>
      </c>
      <c r="C36" s="17"/>
      <c r="D36" s="18">
        <f t="shared" ref="D36:O36" si="9">D34+D35</f>
        <v>-9439.6297355911065</v>
      </c>
      <c r="E36" s="18">
        <f t="shared" si="9"/>
        <v>-32354.899357213417</v>
      </c>
      <c r="F36" s="18">
        <f t="shared" si="9"/>
        <v>-41207.31068260828</v>
      </c>
      <c r="G36" s="18">
        <f t="shared" si="9"/>
        <v>-36883.829294574207</v>
      </c>
      <c r="H36" s="18">
        <f t="shared" si="9"/>
        <v>-30329.486759893523</v>
      </c>
      <c r="I36" s="18">
        <f t="shared" si="9"/>
        <v>-5584.5616186408342</v>
      </c>
      <c r="J36" s="18">
        <f t="shared" si="9"/>
        <v>34137.164166222101</v>
      </c>
      <c r="K36" s="18">
        <f t="shared" si="9"/>
        <v>55823.332402608801</v>
      </c>
      <c r="L36" s="18">
        <f t="shared" si="9"/>
        <v>57045.97030411243</v>
      </c>
      <c r="M36" s="18">
        <f t="shared" si="9"/>
        <v>35969.498724279241</v>
      </c>
      <c r="N36" s="18">
        <f t="shared" si="9"/>
        <v>17143.020543256956</v>
      </c>
      <c r="O36" s="18">
        <f t="shared" si="9"/>
        <v>-3636.0760103310563</v>
      </c>
      <c r="P36" s="18">
        <f t="shared" si="0"/>
        <v>40683.192681627057</v>
      </c>
    </row>
    <row r="37" spans="1:16" x14ac:dyDescent="0.2">
      <c r="A37" s="8" t="s">
        <v>249</v>
      </c>
      <c r="B37" t="s">
        <v>250</v>
      </c>
      <c r="D37" s="16">
        <f>-(D118-IF(Drivers!D20,0,C118))</f>
        <v>0</v>
      </c>
      <c r="E37" s="16">
        <f>-(E118-IF(Drivers!E20,0,D118))</f>
        <v>0</v>
      </c>
      <c r="F37" s="16">
        <f>-(F118-IF(Drivers!F20,0,E118))</f>
        <v>0</v>
      </c>
      <c r="G37" s="16">
        <f>-(G118-IF(Drivers!G20,0,F118))</f>
        <v>0</v>
      </c>
      <c r="H37" s="16">
        <f>-(H118-IF(Drivers!H20,0,G118))</f>
        <v>0</v>
      </c>
      <c r="I37" s="16">
        <f>-(I118-IF(Drivers!I20,0,H118))</f>
        <v>0</v>
      </c>
      <c r="J37" s="16">
        <f>-(J118-IF(Drivers!J20,0,I118))</f>
        <v>0</v>
      </c>
      <c r="K37" s="16">
        <f>-(K118-IF(Drivers!K20,0,J118))</f>
        <v>0</v>
      </c>
      <c r="L37" s="16">
        <f>-(L118-IF(Drivers!L20,0,K118))</f>
        <v>0</v>
      </c>
      <c r="M37" s="16">
        <f>-(M118-IF(Drivers!M20,0,L118))</f>
        <v>-3700.1590742012809</v>
      </c>
      <c r="N37" s="16">
        <f>-(N118-IF(Drivers!N20,0,M118))</f>
        <v>-3942.8947249490989</v>
      </c>
      <c r="O37" s="16">
        <f>-(O118-IF(Drivers!O20,0,N118))</f>
        <v>836.29748237614422</v>
      </c>
      <c r="P37" s="16">
        <f t="shared" si="0"/>
        <v>-6806.7563167742355</v>
      </c>
    </row>
    <row r="38" spans="1:16" x14ac:dyDescent="0.2">
      <c r="A38" s="17" t="s">
        <v>251</v>
      </c>
      <c r="B38" s="17" t="s">
        <v>252</v>
      </c>
      <c r="C38" s="17"/>
      <c r="D38" s="18">
        <f t="shared" ref="D38:O38" si="10">D36+D37</f>
        <v>-9439.6297355911065</v>
      </c>
      <c r="E38" s="18">
        <f t="shared" si="10"/>
        <v>-32354.899357213417</v>
      </c>
      <c r="F38" s="18">
        <f t="shared" si="10"/>
        <v>-41207.31068260828</v>
      </c>
      <c r="G38" s="18">
        <f t="shared" si="10"/>
        <v>-36883.829294574207</v>
      </c>
      <c r="H38" s="18">
        <f t="shared" si="10"/>
        <v>-30329.486759893523</v>
      </c>
      <c r="I38" s="18">
        <f t="shared" si="10"/>
        <v>-5584.5616186408342</v>
      </c>
      <c r="J38" s="18">
        <f t="shared" si="10"/>
        <v>34137.164166222101</v>
      </c>
      <c r="K38" s="18">
        <f t="shared" si="10"/>
        <v>55823.332402608801</v>
      </c>
      <c r="L38" s="18">
        <f t="shared" si="10"/>
        <v>57045.97030411243</v>
      </c>
      <c r="M38" s="18">
        <f t="shared" si="10"/>
        <v>32269.33965007796</v>
      </c>
      <c r="N38" s="18">
        <f t="shared" si="10"/>
        <v>13200.125818307857</v>
      </c>
      <c r="O38" s="18">
        <f t="shared" si="10"/>
        <v>-2799.7785279549121</v>
      </c>
      <c r="P38" s="18">
        <f t="shared" si="0"/>
        <v>33876.436364852816</v>
      </c>
    </row>
    <row r="40" spans="1:16" x14ac:dyDescent="0.2">
      <c r="A40" s="15" t="s">
        <v>253</v>
      </c>
    </row>
    <row r="41" spans="1:16" x14ac:dyDescent="0.2">
      <c r="A41" s="8" t="s">
        <v>254</v>
      </c>
      <c r="B41" t="s">
        <v>255</v>
      </c>
      <c r="C41" s="16">
        <f>Hist_Balances!$AJ$6</f>
        <v>354459.44</v>
      </c>
      <c r="D41" s="16">
        <f t="shared" ref="D41:O41" si="11">C41+D82</f>
        <v>272095.28116574965</v>
      </c>
      <c r="E41" s="16">
        <f t="shared" si="11"/>
        <v>201231.49278878863</v>
      </c>
      <c r="F41" s="16">
        <f t="shared" si="11"/>
        <v>116355.99422890464</v>
      </c>
      <c r="G41" s="16">
        <f t="shared" si="11"/>
        <v>100635.64414944343</v>
      </c>
      <c r="H41" s="16">
        <f t="shared" si="11"/>
        <v>100431.91951201993</v>
      </c>
      <c r="I41" s="16">
        <f t="shared" si="11"/>
        <v>90243.946068440535</v>
      </c>
      <c r="J41" s="16">
        <f t="shared" si="11"/>
        <v>100222.88103852779</v>
      </c>
      <c r="K41" s="16">
        <f t="shared" si="11"/>
        <v>194462.23873881163</v>
      </c>
      <c r="L41" s="16">
        <f t="shared" si="11"/>
        <v>383546.13393830962</v>
      </c>
      <c r="M41" s="16">
        <f t="shared" si="11"/>
        <v>418697.49790858675</v>
      </c>
      <c r="N41" s="16">
        <f t="shared" si="11"/>
        <v>399891.69517608813</v>
      </c>
      <c r="O41" s="16">
        <f t="shared" si="11"/>
        <v>341845.25267132861</v>
      </c>
    </row>
    <row r="42" spans="1:16" x14ac:dyDescent="0.2">
      <c r="A42" s="8" t="s">
        <v>256</v>
      </c>
      <c r="B42" t="s">
        <v>257</v>
      </c>
      <c r="C42" s="16">
        <f>Hist_Balances!$AJ$7+Hist_Balances!$AJ$8+Hist_Balances!$AJ$9+Hist_Balances!$AJ$10</f>
        <v>22724.22</v>
      </c>
      <c r="D42" s="16">
        <f>Assumptions!$H$39*D15*(1+Assumptions!$H$45)</f>
        <v>16328.90877154846</v>
      </c>
      <c r="E42" s="16">
        <f>Assumptions!$H$39*E15*(1+Assumptions!$H$45)</f>
        <v>11090.570049212098</v>
      </c>
      <c r="F42" s="16">
        <f>Assumptions!$H$39*F15*(1+Assumptions!$H$45)</f>
        <v>9709.6612707688073</v>
      </c>
      <c r="G42" s="16">
        <f>Assumptions!$H$39*G15*(1+Assumptions!$H$45)</f>
        <v>9216.4329183419031</v>
      </c>
      <c r="H42" s="16">
        <f>Assumptions!$H$39*H15*(1+Assumptions!$H$45)</f>
        <v>9283.5167485343609</v>
      </c>
      <c r="I42" s="16">
        <f>Assumptions!$H$39*I15*(1+Assumptions!$H$45)</f>
        <v>17163.761531619846</v>
      </c>
      <c r="J42" s="16">
        <f>Assumptions!$H$39*J15*(1+Assumptions!$H$45)</f>
        <v>32492.429526170945</v>
      </c>
      <c r="K42" s="16">
        <f>Assumptions!$H$39*K15*(1+Assumptions!$H$45)</f>
        <v>38199.304646629607</v>
      </c>
      <c r="L42" s="16">
        <f>Assumptions!$H$39*L15*(1+Assumptions!$H$45)</f>
        <v>38613.287619928145</v>
      </c>
      <c r="M42" s="16">
        <f>Assumptions!$H$39*M15*(1+Assumptions!$H$45)</f>
        <v>34910.21899459311</v>
      </c>
      <c r="N42" s="16">
        <f>Assumptions!$H$39*N15*(1+Assumptions!$H$45)</f>
        <v>30300.72554928805</v>
      </c>
      <c r="O42" s="16">
        <f>Assumptions!$H$39*O15*(1+Assumptions!$H$45)</f>
        <v>22879.918156632346</v>
      </c>
    </row>
    <row r="43" spans="1:16" x14ac:dyDescent="0.2">
      <c r="A43" s="8" t="s">
        <v>258</v>
      </c>
      <c r="B43" t="s">
        <v>259</v>
      </c>
      <c r="C43" s="16">
        <f>Hist_Balances!$AJ$11</f>
        <v>342554.88</v>
      </c>
      <c r="D43" s="16">
        <f t="shared" ref="D43:O43" si="12">C43+D99+D94+D18</f>
        <v>359221.273131922</v>
      </c>
      <c r="E43" s="16">
        <f t="shared" si="12"/>
        <v>382137.91067152197</v>
      </c>
      <c r="F43" s="16">
        <f t="shared" si="12"/>
        <v>458205.20054701052</v>
      </c>
      <c r="G43" s="16">
        <f t="shared" si="12"/>
        <v>498659.88898991328</v>
      </c>
      <c r="H43" s="16">
        <f t="shared" si="12"/>
        <v>517223.93118249584</v>
      </c>
      <c r="I43" s="16">
        <f t="shared" si="12"/>
        <v>587764.91154616326</v>
      </c>
      <c r="J43" s="16">
        <f t="shared" si="12"/>
        <v>509805.86935659451</v>
      </c>
      <c r="K43" s="16">
        <f t="shared" si="12"/>
        <v>370357.18066953449</v>
      </c>
      <c r="L43" s="16">
        <f t="shared" si="12"/>
        <v>304372.8465857571</v>
      </c>
      <c r="M43" s="16">
        <f t="shared" si="12"/>
        <v>325730.40252115554</v>
      </c>
      <c r="N43" s="16">
        <f t="shared" si="12"/>
        <v>345507.63478622277</v>
      </c>
      <c r="O43" s="16">
        <f t="shared" si="12"/>
        <v>361375.19913748128</v>
      </c>
    </row>
    <row r="44" spans="1:16" x14ac:dyDescent="0.2">
      <c r="A44" s="8" t="s">
        <v>260</v>
      </c>
      <c r="B44" t="s">
        <v>261</v>
      </c>
      <c r="C44" s="16">
        <f>Hist_Balances!$AJ$12</f>
        <v>8663.7999999999993</v>
      </c>
      <c r="D44" s="16">
        <f>-Assumptions!$H$40*(D19+D20)</f>
        <v>4138.370208883176</v>
      </c>
      <c r="E44" s="16">
        <f>-Assumptions!$H$40*(E19+E20)</f>
        <v>2424.6583782178213</v>
      </c>
      <c r="F44" s="16">
        <f>-Assumptions!$H$40*(F19+F20)</f>
        <v>1985.722288524415</v>
      </c>
      <c r="G44" s="16">
        <f>-Assumptions!$H$40*(G19+G20)</f>
        <v>3215.9852069618642</v>
      </c>
      <c r="H44" s="16">
        <f>-Assumptions!$H$40*(H19+H20)</f>
        <v>3831.0887920011091</v>
      </c>
      <c r="I44" s="16">
        <f>-Assumptions!$H$40*(I19+I20)</f>
        <v>5439.2342039477217</v>
      </c>
      <c r="J44" s="16">
        <f>-Assumptions!$H$40*(J19+J20)</f>
        <v>7247.8242926976282</v>
      </c>
      <c r="K44" s="16">
        <f>-Assumptions!$H$40*(K19+K20)</f>
        <v>7785.5552887580907</v>
      </c>
      <c r="L44" s="16">
        <f>-Assumptions!$H$40*(L19+L20)</f>
        <v>7929.4030069550945</v>
      </c>
      <c r="M44" s="16">
        <f>-Assumptions!$H$40*(M19+M20)</f>
        <v>6744.4340036064777</v>
      </c>
      <c r="N44" s="16">
        <f>-Assumptions!$H$40*(N19+N20)</f>
        <v>5595.9810430877751</v>
      </c>
      <c r="O44" s="16">
        <f>-Assumptions!$H$40*(O19+O20)</f>
        <v>5196.5930459005403</v>
      </c>
    </row>
    <row r="45" spans="1:16" x14ac:dyDescent="0.2">
      <c r="A45" s="8" t="s">
        <v>262</v>
      </c>
      <c r="B45" t="s">
        <v>263</v>
      </c>
      <c r="C45" s="16">
        <f>Hist_BS!$AI$10</f>
        <v>26792.86</v>
      </c>
      <c r="D45" s="16">
        <f t="shared" ref="D45:O45" si="13">D102+D103</f>
        <v>24106.183892476176</v>
      </c>
      <c r="E45" s="16">
        <f t="shared" si="13"/>
        <v>17867.646812198527</v>
      </c>
      <c r="F45" s="16">
        <f t="shared" si="13"/>
        <v>22305.053007311872</v>
      </c>
      <c r="G45" s="16">
        <f t="shared" si="13"/>
        <v>42920.792019810477</v>
      </c>
      <c r="H45" s="16">
        <f t="shared" si="13"/>
        <v>36289.458199215791</v>
      </c>
      <c r="I45" s="16">
        <f t="shared" si="13"/>
        <v>50349.859725818649</v>
      </c>
      <c r="J45" s="16">
        <f t="shared" si="13"/>
        <v>43016.890296209385</v>
      </c>
      <c r="K45" s="16">
        <f t="shared" si="13"/>
        <v>37760.005611811655</v>
      </c>
      <c r="L45" s="16">
        <f t="shared" si="13"/>
        <v>46740.623426467508</v>
      </c>
      <c r="M45" s="16">
        <f t="shared" si="13"/>
        <v>54560.574083633008</v>
      </c>
      <c r="N45" s="16">
        <f t="shared" si="13"/>
        <v>46970.732905271201</v>
      </c>
      <c r="O45" s="16">
        <f t="shared" si="13"/>
        <v>34244.763654919472</v>
      </c>
    </row>
    <row r="46" spans="1:16" x14ac:dyDescent="0.2">
      <c r="A46" s="8" t="s">
        <v>264</v>
      </c>
      <c r="B46" t="s">
        <v>265</v>
      </c>
      <c r="C46" s="16">
        <f>Hist_BS!$AI$11</f>
        <v>0</v>
      </c>
      <c r="D46" s="16">
        <f t="shared" ref="D46:O46" si="14">MAX(0,-D104)</f>
        <v>0</v>
      </c>
      <c r="E46" s="16">
        <f t="shared" si="14"/>
        <v>0</v>
      </c>
      <c r="F46" s="16">
        <f t="shared" si="14"/>
        <v>2593.7451097839948</v>
      </c>
      <c r="G46" s="16">
        <f t="shared" si="14"/>
        <v>1717.237177886429</v>
      </c>
      <c r="H46" s="16">
        <f t="shared" si="14"/>
        <v>1859.0928817083229</v>
      </c>
      <c r="I46" s="16">
        <f t="shared" si="14"/>
        <v>3623.1069867790329</v>
      </c>
      <c r="J46" s="16">
        <f t="shared" si="14"/>
        <v>0</v>
      </c>
      <c r="K46" s="16">
        <f t="shared" si="14"/>
        <v>0</v>
      </c>
      <c r="L46" s="16">
        <f t="shared" si="14"/>
        <v>0</v>
      </c>
      <c r="M46" s="16">
        <f t="shared" si="14"/>
        <v>0</v>
      </c>
      <c r="N46" s="16">
        <f t="shared" si="14"/>
        <v>0</v>
      </c>
      <c r="O46" s="16">
        <f t="shared" si="14"/>
        <v>0</v>
      </c>
    </row>
    <row r="47" spans="1:16" x14ac:dyDescent="0.2">
      <c r="A47" s="17" t="s">
        <v>266</v>
      </c>
      <c r="B47" s="17" t="s">
        <v>267</v>
      </c>
      <c r="C47" s="18">
        <f>Hist_BS!$AI$12</f>
        <v>755195.20000000007</v>
      </c>
      <c r="D47" s="18">
        <f t="shared" ref="D47:O47" si="15">D41+D42+D43+D44+D45+D46</f>
        <v>675890.01717057941</v>
      </c>
      <c r="E47" s="18">
        <f t="shared" si="15"/>
        <v>614752.27869993914</v>
      </c>
      <c r="F47" s="18">
        <f t="shared" si="15"/>
        <v>611155.37645230419</v>
      </c>
      <c r="G47" s="18">
        <f t="shared" si="15"/>
        <v>656365.9804623574</v>
      </c>
      <c r="H47" s="18">
        <f t="shared" si="15"/>
        <v>668919.00731597538</v>
      </c>
      <c r="I47" s="18">
        <f t="shared" si="15"/>
        <v>754584.82006276899</v>
      </c>
      <c r="J47" s="18">
        <f t="shared" si="15"/>
        <v>692785.89451020025</v>
      </c>
      <c r="K47" s="18">
        <f t="shared" si="15"/>
        <v>648564.28495554544</v>
      </c>
      <c r="L47" s="18">
        <f t="shared" si="15"/>
        <v>781202.29457741743</v>
      </c>
      <c r="M47" s="18">
        <f t="shared" si="15"/>
        <v>840643.12751157489</v>
      </c>
      <c r="N47" s="18">
        <f t="shared" si="15"/>
        <v>828266.76945995796</v>
      </c>
      <c r="O47" s="18">
        <f t="shared" si="15"/>
        <v>765541.72666626226</v>
      </c>
      <c r="P47" s="17"/>
    </row>
    <row r="48" spans="1:16" x14ac:dyDescent="0.2">
      <c r="A48" s="8" t="s">
        <v>268</v>
      </c>
      <c r="B48" t="s">
        <v>269</v>
      </c>
      <c r="C48" s="16">
        <f>Hist_Balances!$AJ$16+Hist_Balances!$AJ$17+Hist_Balances!$AJ$18</f>
        <v>281000</v>
      </c>
      <c r="D48" s="16">
        <f>C48+Drivers!D17</f>
        <v>281000</v>
      </c>
      <c r="E48" s="16">
        <f>D48+Drivers!E17</f>
        <v>281000</v>
      </c>
      <c r="F48" s="16">
        <f>E48+Drivers!F17</f>
        <v>281000</v>
      </c>
      <c r="G48" s="16">
        <f>F48+Drivers!G17</f>
        <v>287000</v>
      </c>
      <c r="H48" s="16">
        <f>G48+Drivers!H17</f>
        <v>287000</v>
      </c>
      <c r="I48" s="16">
        <f>H48+Drivers!I17</f>
        <v>299000</v>
      </c>
      <c r="J48" s="16">
        <f>I48+Drivers!J17</f>
        <v>299000</v>
      </c>
      <c r="K48" s="16">
        <f>J48+Drivers!K17</f>
        <v>299000</v>
      </c>
      <c r="L48" s="16">
        <f>K48+Drivers!L17</f>
        <v>299000</v>
      </c>
      <c r="M48" s="16">
        <f>L48+Drivers!M17</f>
        <v>299000</v>
      </c>
      <c r="N48" s="16">
        <f>M48+Drivers!N17</f>
        <v>299000</v>
      </c>
      <c r="O48" s="16">
        <f>N48+Drivers!O17</f>
        <v>299000</v>
      </c>
    </row>
    <row r="49" spans="1:16" x14ac:dyDescent="0.2">
      <c r="A49" s="8" t="s">
        <v>270</v>
      </c>
      <c r="B49" t="s">
        <v>271</v>
      </c>
      <c r="C49" s="16">
        <f>Hist_Balances!$AJ$19</f>
        <v>-106812.13</v>
      </c>
      <c r="D49" s="16">
        <f t="shared" ref="D49:O49" si="16">C49+D33</f>
        <v>-110524.32</v>
      </c>
      <c r="E49" s="16">
        <f t="shared" si="16"/>
        <v>-113625.36</v>
      </c>
      <c r="F49" s="16">
        <f t="shared" si="16"/>
        <v>-116726.39999999999</v>
      </c>
      <c r="G49" s="16">
        <f t="shared" si="16"/>
        <v>-119827.43999999999</v>
      </c>
      <c r="H49" s="16">
        <f t="shared" si="16"/>
        <v>-123028.47999999998</v>
      </c>
      <c r="I49" s="16">
        <f t="shared" si="16"/>
        <v>-126229.51999999997</v>
      </c>
      <c r="J49" s="16">
        <f t="shared" si="16"/>
        <v>-129630.55999999997</v>
      </c>
      <c r="K49" s="16">
        <f t="shared" si="16"/>
        <v>-133031.59999999998</v>
      </c>
      <c r="L49" s="16">
        <f t="shared" si="16"/>
        <v>-136432.63999999998</v>
      </c>
      <c r="M49" s="16">
        <f t="shared" si="16"/>
        <v>-139833.68</v>
      </c>
      <c r="N49" s="16">
        <f t="shared" si="16"/>
        <v>-143234.72</v>
      </c>
      <c r="O49" s="16">
        <f t="shared" si="16"/>
        <v>-146635.76</v>
      </c>
    </row>
    <row r="50" spans="1:16" x14ac:dyDescent="0.2">
      <c r="A50" s="17" t="s">
        <v>272</v>
      </c>
      <c r="B50" s="17" t="s">
        <v>273</v>
      </c>
      <c r="C50" s="18">
        <f>Hist_BS!$AI$15</f>
        <v>174187.87</v>
      </c>
      <c r="D50" s="18">
        <f t="shared" ref="D50:O50" si="17">D48+D49</f>
        <v>170475.68</v>
      </c>
      <c r="E50" s="18">
        <f t="shared" si="17"/>
        <v>167374.64000000001</v>
      </c>
      <c r="F50" s="18">
        <f t="shared" si="17"/>
        <v>164273.60000000001</v>
      </c>
      <c r="G50" s="18">
        <f t="shared" si="17"/>
        <v>167172.56</v>
      </c>
      <c r="H50" s="18">
        <f t="shared" si="17"/>
        <v>163971.52000000002</v>
      </c>
      <c r="I50" s="18">
        <f t="shared" si="17"/>
        <v>172770.48000000004</v>
      </c>
      <c r="J50" s="18">
        <f t="shared" si="17"/>
        <v>169369.44000000003</v>
      </c>
      <c r="K50" s="18">
        <f t="shared" si="17"/>
        <v>165968.40000000002</v>
      </c>
      <c r="L50" s="18">
        <f t="shared" si="17"/>
        <v>162567.36000000002</v>
      </c>
      <c r="M50" s="18">
        <f t="shared" si="17"/>
        <v>159166.32</v>
      </c>
      <c r="N50" s="18">
        <f t="shared" si="17"/>
        <v>155765.28</v>
      </c>
      <c r="O50" s="18">
        <f t="shared" si="17"/>
        <v>152364.24</v>
      </c>
      <c r="P50" s="17"/>
    </row>
    <row r="51" spans="1:16" x14ac:dyDescent="0.2">
      <c r="A51" s="17" t="s">
        <v>274</v>
      </c>
      <c r="B51" s="17" t="s">
        <v>275</v>
      </c>
      <c r="C51" s="18">
        <f>Hist_BS!$AI$16</f>
        <v>929383.07000000007</v>
      </c>
      <c r="D51" s="18">
        <f t="shared" ref="D51:O51" si="18">D47+D50</f>
        <v>846365.69717057934</v>
      </c>
      <c r="E51" s="18">
        <f t="shared" si="18"/>
        <v>782126.91869993915</v>
      </c>
      <c r="F51" s="18">
        <f t="shared" si="18"/>
        <v>775428.97645230417</v>
      </c>
      <c r="G51" s="18">
        <f t="shared" si="18"/>
        <v>823538.54046235746</v>
      </c>
      <c r="H51" s="18">
        <f t="shared" si="18"/>
        <v>832890.5273159754</v>
      </c>
      <c r="I51" s="18">
        <f t="shared" si="18"/>
        <v>927355.30006276909</v>
      </c>
      <c r="J51" s="18">
        <f t="shared" si="18"/>
        <v>862155.33451020031</v>
      </c>
      <c r="K51" s="18">
        <f t="shared" si="18"/>
        <v>814532.68495554547</v>
      </c>
      <c r="L51" s="18">
        <f t="shared" si="18"/>
        <v>943769.65457741742</v>
      </c>
      <c r="M51" s="18">
        <f t="shared" si="18"/>
        <v>999809.44751157495</v>
      </c>
      <c r="N51" s="18">
        <f t="shared" si="18"/>
        <v>984032.04945995798</v>
      </c>
      <c r="O51" s="18">
        <f t="shared" si="18"/>
        <v>917905.96666626225</v>
      </c>
      <c r="P51" s="17"/>
    </row>
    <row r="52" spans="1:16" x14ac:dyDescent="0.2">
      <c r="A52" s="8" t="s">
        <v>276</v>
      </c>
      <c r="B52" t="s">
        <v>277</v>
      </c>
      <c r="C52" s="16">
        <f>Hist_BS!$AI$17</f>
        <v>185924.9</v>
      </c>
      <c r="D52" s="16">
        <f t="shared" ref="D52:O52" si="19">D106+D107</f>
        <v>136154.6009932236</v>
      </c>
      <c r="E52" s="16">
        <f t="shared" si="19"/>
        <v>109621.85491190382</v>
      </c>
      <c r="F52" s="16">
        <f t="shared" si="19"/>
        <v>148681.8084139289</v>
      </c>
      <c r="G52" s="16">
        <f t="shared" si="19"/>
        <v>107094.42067644442</v>
      </c>
      <c r="H52" s="16">
        <f t="shared" si="19"/>
        <v>86105.195487046367</v>
      </c>
      <c r="I52" s="16">
        <f t="shared" si="19"/>
        <v>187367.02510879183</v>
      </c>
      <c r="J52" s="16">
        <f t="shared" si="19"/>
        <v>169507.65802690218</v>
      </c>
      <c r="K52" s="16">
        <f t="shared" si="19"/>
        <v>157520.58290449486</v>
      </c>
      <c r="L52" s="16">
        <f t="shared" si="19"/>
        <v>222247.51617589389</v>
      </c>
      <c r="M52" s="16">
        <f t="shared" si="19"/>
        <v>276448.75641033758</v>
      </c>
      <c r="N52" s="16">
        <f t="shared" si="19"/>
        <v>243666.26739685729</v>
      </c>
      <c r="O52" s="16">
        <f t="shared" si="19"/>
        <v>183663.88002796777</v>
      </c>
    </row>
    <row r="53" spans="1:16" x14ac:dyDescent="0.2">
      <c r="A53" s="8" t="s">
        <v>278</v>
      </c>
      <c r="B53" t="s">
        <v>279</v>
      </c>
      <c r="C53" s="16">
        <f>Hist_BS!$AI$18</f>
        <v>30310.02</v>
      </c>
      <c r="D53" s="16">
        <f t="shared" ref="D53:O53" si="20">D108+D109</f>
        <v>21095.672161240444</v>
      </c>
      <c r="E53" s="16">
        <f t="shared" si="20"/>
        <v>20298.748046652989</v>
      </c>
      <c r="F53" s="16">
        <f t="shared" si="20"/>
        <v>20837.727813788119</v>
      </c>
      <c r="G53" s="16">
        <f t="shared" si="20"/>
        <v>20585.178855899918</v>
      </c>
      <c r="H53" s="16">
        <f t="shared" si="20"/>
        <v>19422.547658809497</v>
      </c>
      <c r="I53" s="16">
        <f t="shared" si="20"/>
        <v>22376.722402498537</v>
      </c>
      <c r="J53" s="16">
        <f t="shared" si="20"/>
        <v>30665.643401202677</v>
      </c>
      <c r="K53" s="16">
        <f t="shared" si="20"/>
        <v>31727.259739826575</v>
      </c>
      <c r="L53" s="16">
        <f t="shared" si="20"/>
        <v>33255.441069139488</v>
      </c>
      <c r="M53" s="16">
        <f t="shared" si="20"/>
        <v>31817.872754404387</v>
      </c>
      <c r="N53" s="16">
        <f t="shared" si="20"/>
        <v>32173.252739536234</v>
      </c>
      <c r="O53" s="16">
        <f t="shared" si="20"/>
        <v>31268.684405179534</v>
      </c>
    </row>
    <row r="54" spans="1:16" x14ac:dyDescent="0.2">
      <c r="A54" s="8" t="s">
        <v>280</v>
      </c>
      <c r="B54" t="s">
        <v>281</v>
      </c>
      <c r="C54" s="16">
        <f>-Hist_Balances!$AJ$24</f>
        <v>0</v>
      </c>
      <c r="D54" s="16">
        <f t="shared" ref="D54:O54" si="21">C54-D37-D120</f>
        <v>0</v>
      </c>
      <c r="E54" s="16">
        <f t="shared" si="21"/>
        <v>0</v>
      </c>
      <c r="F54" s="16">
        <f t="shared" si="21"/>
        <v>0</v>
      </c>
      <c r="G54" s="16">
        <f t="shared" si="21"/>
        <v>0</v>
      </c>
      <c r="H54" s="16">
        <f t="shared" si="21"/>
        <v>0</v>
      </c>
      <c r="I54" s="16">
        <f t="shared" si="21"/>
        <v>0</v>
      </c>
      <c r="J54" s="16">
        <f t="shared" si="21"/>
        <v>0</v>
      </c>
      <c r="K54" s="16">
        <f t="shared" si="21"/>
        <v>0</v>
      </c>
      <c r="L54" s="16">
        <f t="shared" si="21"/>
        <v>0</v>
      </c>
      <c r="M54" s="16">
        <f t="shared" si="21"/>
        <v>3700.1590742012809</v>
      </c>
      <c r="N54" s="16">
        <f t="shared" si="21"/>
        <v>7643.0537991503797</v>
      </c>
      <c r="O54" s="16">
        <f t="shared" si="21"/>
        <v>6806.7563167742355</v>
      </c>
    </row>
    <row r="55" spans="1:16" x14ac:dyDescent="0.2">
      <c r="A55" s="8" t="s">
        <v>282</v>
      </c>
      <c r="B55" t="s">
        <v>283</v>
      </c>
      <c r="C55" s="16">
        <f>Hist_BS!$AI$20</f>
        <v>11736.86</v>
      </c>
      <c r="D55" s="16">
        <f t="shared" ref="D55:O55" si="22">MAX(0,D104)</f>
        <v>1310.4337517065105</v>
      </c>
      <c r="E55" s="16">
        <f t="shared" si="22"/>
        <v>922.89483418672535</v>
      </c>
      <c r="F55" s="16">
        <f t="shared" si="22"/>
        <v>0</v>
      </c>
      <c r="G55" s="16">
        <f t="shared" si="22"/>
        <v>0</v>
      </c>
      <c r="H55" s="16">
        <f t="shared" si="22"/>
        <v>0</v>
      </c>
      <c r="I55" s="16">
        <f t="shared" si="22"/>
        <v>0</v>
      </c>
      <c r="J55" s="16">
        <f t="shared" si="22"/>
        <v>9399.986364394621</v>
      </c>
      <c r="K55" s="16">
        <f t="shared" si="22"/>
        <v>23046.133190914439</v>
      </c>
      <c r="L55" s="16">
        <f t="shared" si="22"/>
        <v>33148.687907962041</v>
      </c>
      <c r="M55" s="16">
        <f t="shared" si="22"/>
        <v>4621.9801981316486</v>
      </c>
      <c r="N55" s="16">
        <f t="shared" si="22"/>
        <v>8295.3406316061864</v>
      </c>
      <c r="O55" s="16">
        <f t="shared" si="22"/>
        <v>10878.959551487755</v>
      </c>
    </row>
    <row r="56" spans="1:16" x14ac:dyDescent="0.2">
      <c r="A56" s="8" t="s">
        <v>284</v>
      </c>
      <c r="B56" t="s">
        <v>285</v>
      </c>
      <c r="C56" s="16">
        <f>-Hist_Balances!$AJ$26</f>
        <v>0</v>
      </c>
      <c r="D56" s="16">
        <f t="shared" ref="D56:O56" si="23">C56+D77+D78</f>
        <v>0</v>
      </c>
      <c r="E56" s="16">
        <f t="shared" si="23"/>
        <v>0</v>
      </c>
      <c r="F56" s="16">
        <f t="shared" si="23"/>
        <v>0</v>
      </c>
      <c r="G56" s="16">
        <f t="shared" si="23"/>
        <v>131000</v>
      </c>
      <c r="H56" s="16">
        <f t="shared" si="23"/>
        <v>197000</v>
      </c>
      <c r="I56" s="16">
        <f t="shared" si="23"/>
        <v>197000</v>
      </c>
      <c r="J56" s="16">
        <f t="shared" si="23"/>
        <v>102000</v>
      </c>
      <c r="K56" s="16">
        <f t="shared" si="23"/>
        <v>0</v>
      </c>
      <c r="L56" s="16">
        <f t="shared" si="23"/>
        <v>0</v>
      </c>
      <c r="M56" s="16">
        <f t="shared" si="23"/>
        <v>0</v>
      </c>
      <c r="N56" s="16">
        <f t="shared" si="23"/>
        <v>0</v>
      </c>
      <c r="O56" s="16">
        <f t="shared" si="23"/>
        <v>0</v>
      </c>
    </row>
    <row r="57" spans="1:16" x14ac:dyDescent="0.2">
      <c r="A57" s="8" t="s">
        <v>286</v>
      </c>
      <c r="B57" t="s">
        <v>287</v>
      </c>
      <c r="C57" s="16">
        <f>Hist_BS!$AI$22</f>
        <v>50000.04</v>
      </c>
      <c r="D57" s="16">
        <f>MIN(D113,12*Assumptions!$H$57)</f>
        <v>50000.04</v>
      </c>
      <c r="E57" s="16">
        <f>MIN(E113,12*Assumptions!$H$57)</f>
        <v>50000.04</v>
      </c>
      <c r="F57" s="16">
        <f>MIN(F113,12*Assumptions!$H$57)</f>
        <v>50000.04</v>
      </c>
      <c r="G57" s="16">
        <f>MIN(G113,12*Assumptions!$H$57)</f>
        <v>50000.04</v>
      </c>
      <c r="H57" s="16">
        <f>MIN(H113,12*Assumptions!$H$57)</f>
        <v>50000.04</v>
      </c>
      <c r="I57" s="16">
        <f>MIN(I113,12*Assumptions!$H$57)</f>
        <v>50000.04</v>
      </c>
      <c r="J57" s="16">
        <f>MIN(J113,12*Assumptions!$H$57)</f>
        <v>50000.04</v>
      </c>
      <c r="K57" s="16">
        <f>MIN(K113,12*Assumptions!$H$57)</f>
        <v>50000.04</v>
      </c>
      <c r="L57" s="16">
        <f>MIN(L113,12*Assumptions!$H$57)</f>
        <v>50000.04</v>
      </c>
      <c r="M57" s="16">
        <f>MIN(M113,12*Assumptions!$H$57)</f>
        <v>50000.04</v>
      </c>
      <c r="N57" s="16">
        <f>MIN(N113,12*Assumptions!$H$57)</f>
        <v>50000.04</v>
      </c>
      <c r="O57" s="16">
        <f>MIN(O113,12*Assumptions!$H$57)</f>
        <v>50000.04</v>
      </c>
    </row>
    <row r="58" spans="1:16" x14ac:dyDescent="0.2">
      <c r="A58" s="17" t="s">
        <v>288</v>
      </c>
      <c r="B58" s="17" t="s">
        <v>289</v>
      </c>
      <c r="C58" s="18">
        <f>Hist_BS!$AI$23</f>
        <v>277971.81999999995</v>
      </c>
      <c r="D58" s="18">
        <f t="shared" ref="D58:O58" si="24">D52+D53+D54+D55+D56+D57</f>
        <v>208560.74690617056</v>
      </c>
      <c r="E58" s="18">
        <f t="shared" si="24"/>
        <v>180843.53779274353</v>
      </c>
      <c r="F58" s="18">
        <f t="shared" si="24"/>
        <v>219519.57622771701</v>
      </c>
      <c r="G58" s="18">
        <f t="shared" si="24"/>
        <v>308679.63953234436</v>
      </c>
      <c r="H58" s="18">
        <f t="shared" si="24"/>
        <v>352527.78314585582</v>
      </c>
      <c r="I58" s="18">
        <f t="shared" si="24"/>
        <v>456743.78751129034</v>
      </c>
      <c r="J58" s="18">
        <f t="shared" si="24"/>
        <v>361573.32779249951</v>
      </c>
      <c r="K58" s="18">
        <f t="shared" si="24"/>
        <v>262294.01583523588</v>
      </c>
      <c r="L58" s="18">
        <f t="shared" si="24"/>
        <v>338651.6851529954</v>
      </c>
      <c r="M58" s="18">
        <f t="shared" si="24"/>
        <v>366588.80843707488</v>
      </c>
      <c r="N58" s="18">
        <f t="shared" si="24"/>
        <v>341777.9545671501</v>
      </c>
      <c r="O58" s="18">
        <f t="shared" si="24"/>
        <v>282618.32030140929</v>
      </c>
      <c r="P58" s="17"/>
    </row>
    <row r="59" spans="1:16" x14ac:dyDescent="0.2">
      <c r="A59" s="8" t="s">
        <v>290</v>
      </c>
      <c r="B59" t="s">
        <v>291</v>
      </c>
      <c r="C59" s="16">
        <f>Hist_BS!$AI$24</f>
        <v>62499.85</v>
      </c>
      <c r="D59" s="16">
        <f t="shared" ref="D59:O59" si="25">D113-D57</f>
        <v>58333.18</v>
      </c>
      <c r="E59" s="16">
        <f t="shared" si="25"/>
        <v>54166.51</v>
      </c>
      <c r="F59" s="16">
        <f t="shared" si="25"/>
        <v>49999.840000000004</v>
      </c>
      <c r="G59" s="16">
        <f t="shared" si="25"/>
        <v>45833.170000000006</v>
      </c>
      <c r="H59" s="16">
        <f t="shared" si="25"/>
        <v>41666.500000000007</v>
      </c>
      <c r="I59" s="16">
        <f t="shared" si="25"/>
        <v>37499.830000000009</v>
      </c>
      <c r="J59" s="16">
        <f t="shared" si="25"/>
        <v>33333.160000000011</v>
      </c>
      <c r="K59" s="16">
        <f t="shared" si="25"/>
        <v>29166.490000000013</v>
      </c>
      <c r="L59" s="16">
        <f t="shared" si="25"/>
        <v>24999.820000000014</v>
      </c>
      <c r="M59" s="16">
        <f t="shared" si="25"/>
        <v>20833.150000000016</v>
      </c>
      <c r="N59" s="16">
        <f t="shared" si="25"/>
        <v>16666.480000000018</v>
      </c>
      <c r="O59" s="16">
        <f t="shared" si="25"/>
        <v>12499.810000000019</v>
      </c>
    </row>
    <row r="60" spans="1:16" x14ac:dyDescent="0.2">
      <c r="A60" s="17" t="s">
        <v>292</v>
      </c>
      <c r="B60" s="17" t="s">
        <v>293</v>
      </c>
      <c r="C60" s="18">
        <f>Hist_BS!$AI$25</f>
        <v>340471.66999999993</v>
      </c>
      <c r="D60" s="18">
        <f t="shared" ref="D60:O60" si="26">D58+D59</f>
        <v>266893.92690617056</v>
      </c>
      <c r="E60" s="18">
        <f t="shared" si="26"/>
        <v>235010.04779274354</v>
      </c>
      <c r="F60" s="18">
        <f t="shared" si="26"/>
        <v>269519.41622771701</v>
      </c>
      <c r="G60" s="18">
        <f t="shared" si="26"/>
        <v>354512.80953234434</v>
      </c>
      <c r="H60" s="18">
        <f t="shared" si="26"/>
        <v>394194.28314585582</v>
      </c>
      <c r="I60" s="18">
        <f t="shared" si="26"/>
        <v>494243.61751129036</v>
      </c>
      <c r="J60" s="18">
        <f t="shared" si="26"/>
        <v>394906.48779249954</v>
      </c>
      <c r="K60" s="18">
        <f t="shared" si="26"/>
        <v>291460.50583523588</v>
      </c>
      <c r="L60" s="18">
        <f t="shared" si="26"/>
        <v>363651.50515299541</v>
      </c>
      <c r="M60" s="18">
        <f t="shared" si="26"/>
        <v>387421.95843707491</v>
      </c>
      <c r="N60" s="18">
        <f t="shared" si="26"/>
        <v>358444.43456715014</v>
      </c>
      <c r="O60" s="18">
        <f t="shared" si="26"/>
        <v>295118.13030140928</v>
      </c>
      <c r="P60" s="17"/>
    </row>
    <row r="61" spans="1:16" x14ac:dyDescent="0.2">
      <c r="A61" s="8" t="s">
        <v>294</v>
      </c>
      <c r="B61" t="s">
        <v>295</v>
      </c>
      <c r="C61" s="16">
        <f>-Hist_Balances!$AJ$28</f>
        <v>600000</v>
      </c>
      <c r="D61" s="16">
        <f t="shared" ref="D61:O61" si="27">C61+D79</f>
        <v>600000</v>
      </c>
      <c r="E61" s="16">
        <f t="shared" si="27"/>
        <v>600000</v>
      </c>
      <c r="F61" s="16">
        <f t="shared" si="27"/>
        <v>600000</v>
      </c>
      <c r="G61" s="16">
        <f t="shared" si="27"/>
        <v>600000</v>
      </c>
      <c r="H61" s="16">
        <f t="shared" si="27"/>
        <v>600000</v>
      </c>
      <c r="I61" s="16">
        <f t="shared" si="27"/>
        <v>600000</v>
      </c>
      <c r="J61" s="16">
        <f t="shared" si="27"/>
        <v>600000</v>
      </c>
      <c r="K61" s="16">
        <f t="shared" si="27"/>
        <v>600000</v>
      </c>
      <c r="L61" s="16">
        <f t="shared" si="27"/>
        <v>600000</v>
      </c>
      <c r="M61" s="16">
        <f t="shared" si="27"/>
        <v>600000</v>
      </c>
      <c r="N61" s="16">
        <f t="shared" si="27"/>
        <v>600000</v>
      </c>
      <c r="O61" s="16">
        <f t="shared" si="27"/>
        <v>600000</v>
      </c>
    </row>
    <row r="62" spans="1:16" x14ac:dyDescent="0.2">
      <c r="A62" s="8" t="s">
        <v>296</v>
      </c>
      <c r="B62" t="s">
        <v>297</v>
      </c>
      <c r="C62" s="16">
        <f>-(Hist_Balances!$AJ$29+Hist_Balances!$AJ$30)</f>
        <v>-98211.57</v>
      </c>
      <c r="D62" s="16">
        <f>C62+IF(Drivers!D22,C63+D38,0)+D80</f>
        <v>-98211.57</v>
      </c>
      <c r="E62" s="16">
        <f>D62+IF(Drivers!E22,D63+E38,0)+E80</f>
        <v>-98211.57</v>
      </c>
      <c r="F62" s="16">
        <f>E62+IF(Drivers!F22,E63+F38,0)+F80</f>
        <v>-94090.439775412815</v>
      </c>
      <c r="G62" s="16">
        <f>F62+IF(Drivers!G22,F63+G38,0)+G80</f>
        <v>-94090.439775412815</v>
      </c>
      <c r="H62" s="16">
        <f>G62+IF(Drivers!H22,G63+H38,0)+H80</f>
        <v>-94090.439775412815</v>
      </c>
      <c r="I62" s="16">
        <f>H62+IF(Drivers!I22,H63+I38,0)+I80</f>
        <v>-94090.439775412815</v>
      </c>
      <c r="J62" s="16">
        <f>I62+IF(Drivers!J22,I63+J38,0)+J80</f>
        <v>-94090.439775412815</v>
      </c>
      <c r="K62" s="16">
        <f>J62+IF(Drivers!K22,J63+K38,0)+K80</f>
        <v>-94090.439775412815</v>
      </c>
      <c r="L62" s="16">
        <f>K62+IF(Drivers!L22,K63+L38,0)+L80</f>
        <v>-94090.439775412815</v>
      </c>
      <c r="M62" s="16">
        <f>L62+IF(Drivers!M22,L63+M38,0)+M80</f>
        <v>-94090.439775412815</v>
      </c>
      <c r="N62" s="16">
        <f>M62+IF(Drivers!N22,M63+N38,0)+N80</f>
        <v>-94090.439775412815</v>
      </c>
      <c r="O62" s="16">
        <f>N62+IF(Drivers!O22,N63+O38,0)+O80</f>
        <v>-94090.439775412815</v>
      </c>
    </row>
    <row r="63" spans="1:16" x14ac:dyDescent="0.2">
      <c r="A63" s="8" t="s">
        <v>298</v>
      </c>
      <c r="B63" t="s">
        <v>299</v>
      </c>
      <c r="C63" s="16">
        <f>Hist_BS!$AI$28</f>
        <v>87122.97</v>
      </c>
      <c r="D63" s="16">
        <f>IF(Drivers!D22,0,C63+D38)</f>
        <v>77683.340264408893</v>
      </c>
      <c r="E63" s="16">
        <f>IF(Drivers!E22,0,D63+E38)</f>
        <v>45328.440907195472</v>
      </c>
      <c r="F63" s="16">
        <f>IF(Drivers!F22,0,E63+F38)</f>
        <v>0</v>
      </c>
      <c r="G63" s="16">
        <f>IF(Drivers!G22,0,F63+G38)</f>
        <v>-36883.829294574207</v>
      </c>
      <c r="H63" s="16">
        <f>IF(Drivers!H22,0,G63+H38)</f>
        <v>-67213.316054467723</v>
      </c>
      <c r="I63" s="16">
        <f>IF(Drivers!I22,0,H63+I38)</f>
        <v>-72797.877673108553</v>
      </c>
      <c r="J63" s="16">
        <f>IF(Drivers!J22,0,I63+J38)</f>
        <v>-38660.713506886452</v>
      </c>
      <c r="K63" s="16">
        <f>IF(Drivers!K22,0,J63+K38)</f>
        <v>17162.618895722349</v>
      </c>
      <c r="L63" s="16">
        <f>IF(Drivers!L22,0,K63+L38)</f>
        <v>74208.58919983478</v>
      </c>
      <c r="M63" s="16">
        <f>IF(Drivers!M22,0,L63+M38)</f>
        <v>106477.92884991274</v>
      </c>
      <c r="N63" s="16">
        <f>IF(Drivers!N22,0,M63+N38)</f>
        <v>119678.0546682206</v>
      </c>
      <c r="O63" s="16">
        <f>IF(Drivers!O22,0,N63+O38)</f>
        <v>116878.27614026569</v>
      </c>
    </row>
    <row r="64" spans="1:16" x14ac:dyDescent="0.2">
      <c r="A64" s="17" t="s">
        <v>300</v>
      </c>
      <c r="B64" s="17" t="s">
        <v>301</v>
      </c>
      <c r="C64" s="18">
        <f>Hist_BS!$AI$29</f>
        <v>588911.4</v>
      </c>
      <c r="D64" s="18">
        <f t="shared" ref="D64:O64" si="28">D61+D62+D63</f>
        <v>579471.7702644089</v>
      </c>
      <c r="E64" s="18">
        <f t="shared" si="28"/>
        <v>547116.87090719549</v>
      </c>
      <c r="F64" s="18">
        <f t="shared" si="28"/>
        <v>505909.56022458721</v>
      </c>
      <c r="G64" s="18">
        <f t="shared" si="28"/>
        <v>469025.730930013</v>
      </c>
      <c r="H64" s="18">
        <f t="shared" si="28"/>
        <v>438696.24417011952</v>
      </c>
      <c r="I64" s="18">
        <f t="shared" si="28"/>
        <v>433111.68255147868</v>
      </c>
      <c r="J64" s="18">
        <f t="shared" si="28"/>
        <v>467248.84671770077</v>
      </c>
      <c r="K64" s="18">
        <f t="shared" si="28"/>
        <v>523072.17912030953</v>
      </c>
      <c r="L64" s="18">
        <f t="shared" si="28"/>
        <v>580118.14942442195</v>
      </c>
      <c r="M64" s="18">
        <f t="shared" si="28"/>
        <v>612387.48907449993</v>
      </c>
      <c r="N64" s="18">
        <f t="shared" si="28"/>
        <v>625587.61489280779</v>
      </c>
      <c r="O64" s="18">
        <f t="shared" si="28"/>
        <v>622787.83636485296</v>
      </c>
      <c r="P64" s="17"/>
    </row>
    <row r="65" spans="1:16" x14ac:dyDescent="0.2">
      <c r="A65" s="17" t="s">
        <v>302</v>
      </c>
      <c r="B65" s="17" t="s">
        <v>303</v>
      </c>
      <c r="C65" s="18">
        <f>Hist_BS!$AI$30</f>
        <v>929383.07</v>
      </c>
      <c r="D65" s="18">
        <f t="shared" ref="D65:O65" si="29">D60+D64</f>
        <v>846365.69717057946</v>
      </c>
      <c r="E65" s="18">
        <f t="shared" si="29"/>
        <v>782126.91869993904</v>
      </c>
      <c r="F65" s="18">
        <f t="shared" si="29"/>
        <v>775428.97645230428</v>
      </c>
      <c r="G65" s="18">
        <f t="shared" si="29"/>
        <v>823538.54046235734</v>
      </c>
      <c r="H65" s="18">
        <f t="shared" si="29"/>
        <v>832890.5273159754</v>
      </c>
      <c r="I65" s="18">
        <f t="shared" si="29"/>
        <v>927355.30006276909</v>
      </c>
      <c r="J65" s="18">
        <f t="shared" si="29"/>
        <v>862155.33451020031</v>
      </c>
      <c r="K65" s="18">
        <f t="shared" si="29"/>
        <v>814532.68495554547</v>
      </c>
      <c r="L65" s="18">
        <f t="shared" si="29"/>
        <v>943769.6545774173</v>
      </c>
      <c r="M65" s="18">
        <f t="shared" si="29"/>
        <v>999809.44751157484</v>
      </c>
      <c r="N65" s="18">
        <f t="shared" si="29"/>
        <v>984032.04945995798</v>
      </c>
      <c r="O65" s="18">
        <f t="shared" si="29"/>
        <v>917905.96666626225</v>
      </c>
      <c r="P65" s="17"/>
    </row>
    <row r="67" spans="1:16" x14ac:dyDescent="0.2">
      <c r="A67" s="15" t="s">
        <v>304</v>
      </c>
    </row>
    <row r="68" spans="1:16" x14ac:dyDescent="0.2">
      <c r="A68" s="8" t="s">
        <v>305</v>
      </c>
      <c r="B68" t="s">
        <v>252</v>
      </c>
      <c r="D68" s="16">
        <f t="shared" ref="D68:O68" si="30">D38</f>
        <v>-9439.6297355911065</v>
      </c>
      <c r="E68" s="16">
        <f t="shared" si="30"/>
        <v>-32354.899357213417</v>
      </c>
      <c r="F68" s="16">
        <f t="shared" si="30"/>
        <v>-41207.31068260828</v>
      </c>
      <c r="G68" s="16">
        <f t="shared" si="30"/>
        <v>-36883.829294574207</v>
      </c>
      <c r="H68" s="16">
        <f t="shared" si="30"/>
        <v>-30329.486759893523</v>
      </c>
      <c r="I68" s="16">
        <f t="shared" si="30"/>
        <v>-5584.5616186408342</v>
      </c>
      <c r="J68" s="16">
        <f t="shared" si="30"/>
        <v>34137.164166222101</v>
      </c>
      <c r="K68" s="16">
        <f t="shared" si="30"/>
        <v>55823.332402608801</v>
      </c>
      <c r="L68" s="16">
        <f t="shared" si="30"/>
        <v>57045.97030411243</v>
      </c>
      <c r="M68" s="16">
        <f t="shared" si="30"/>
        <v>32269.33965007796</v>
      </c>
      <c r="N68" s="16">
        <f t="shared" si="30"/>
        <v>13200.125818307857</v>
      </c>
      <c r="O68" s="16">
        <f t="shared" si="30"/>
        <v>-2799.7785279549121</v>
      </c>
      <c r="P68" s="16">
        <f t="shared" ref="P68:P82" si="31">SUM(D68:O68)</f>
        <v>33876.436364852816</v>
      </c>
    </row>
    <row r="69" spans="1:16" x14ac:dyDescent="0.2">
      <c r="A69" s="8" t="s">
        <v>306</v>
      </c>
      <c r="B69" t="s">
        <v>242</v>
      </c>
      <c r="D69" s="16">
        <f t="shared" ref="D69:O69" si="32">-D33</f>
        <v>3712.19</v>
      </c>
      <c r="E69" s="16">
        <f t="shared" si="32"/>
        <v>3101.04</v>
      </c>
      <c r="F69" s="16">
        <f t="shared" si="32"/>
        <v>3101.04</v>
      </c>
      <c r="G69" s="16">
        <f t="shared" si="32"/>
        <v>3101.04</v>
      </c>
      <c r="H69" s="16">
        <f t="shared" si="32"/>
        <v>3201.04</v>
      </c>
      <c r="I69" s="16">
        <f t="shared" si="32"/>
        <v>3201.04</v>
      </c>
      <c r="J69" s="16">
        <f t="shared" si="32"/>
        <v>3401.04</v>
      </c>
      <c r="K69" s="16">
        <f t="shared" si="32"/>
        <v>3401.04</v>
      </c>
      <c r="L69" s="16">
        <f t="shared" si="32"/>
        <v>3401.04</v>
      </c>
      <c r="M69" s="16">
        <f t="shared" si="32"/>
        <v>3401.04</v>
      </c>
      <c r="N69" s="16">
        <f t="shared" si="32"/>
        <v>3401.04</v>
      </c>
      <c r="O69" s="16">
        <f t="shared" si="32"/>
        <v>3401.04</v>
      </c>
      <c r="P69" s="16">
        <f t="shared" si="31"/>
        <v>39823.630000000005</v>
      </c>
    </row>
    <row r="70" spans="1:16" x14ac:dyDescent="0.2">
      <c r="A70" s="8" t="s">
        <v>307</v>
      </c>
      <c r="B70" t="s">
        <v>308</v>
      </c>
      <c r="D70" s="16">
        <f t="shared" ref="D70:O70" si="33">C42-D42</f>
        <v>6395.311228451541</v>
      </c>
      <c r="E70" s="16">
        <f t="shared" si="33"/>
        <v>5238.3387223363625</v>
      </c>
      <c r="F70" s="16">
        <f t="shared" si="33"/>
        <v>1380.9087784432904</v>
      </c>
      <c r="G70" s="16">
        <f t="shared" si="33"/>
        <v>493.22835242690417</v>
      </c>
      <c r="H70" s="16">
        <f t="shared" si="33"/>
        <v>-67.083830192457754</v>
      </c>
      <c r="I70" s="16">
        <f t="shared" si="33"/>
        <v>-7880.2447830854853</v>
      </c>
      <c r="J70" s="16">
        <f t="shared" si="33"/>
        <v>-15328.667994551099</v>
      </c>
      <c r="K70" s="16">
        <f t="shared" si="33"/>
        <v>-5706.8751204586624</v>
      </c>
      <c r="L70" s="16">
        <f t="shared" si="33"/>
        <v>-413.98297329853813</v>
      </c>
      <c r="M70" s="16">
        <f t="shared" si="33"/>
        <v>3703.0686253350359</v>
      </c>
      <c r="N70" s="16">
        <f t="shared" si="33"/>
        <v>4609.4934453050591</v>
      </c>
      <c r="O70" s="16">
        <f t="shared" si="33"/>
        <v>7420.8073926557045</v>
      </c>
      <c r="P70" s="16">
        <f t="shared" si="31"/>
        <v>-155.69815663234476</v>
      </c>
    </row>
    <row r="71" spans="1:16" x14ac:dyDescent="0.2">
      <c r="A71" s="8" t="s">
        <v>309</v>
      </c>
      <c r="B71" t="s">
        <v>310</v>
      </c>
      <c r="D71" s="16">
        <f t="shared" ref="D71:O71" si="34">C43-D43</f>
        <v>-16666.393131921999</v>
      </c>
      <c r="E71" s="16">
        <f t="shared" si="34"/>
        <v>-22916.637539599964</v>
      </c>
      <c r="F71" s="16">
        <f t="shared" si="34"/>
        <v>-76067.289875488554</v>
      </c>
      <c r="G71" s="16">
        <f t="shared" si="34"/>
        <v>-40454.688442902756</v>
      </c>
      <c r="H71" s="16">
        <f t="shared" si="34"/>
        <v>-18564.042192582565</v>
      </c>
      <c r="I71" s="16">
        <f t="shared" si="34"/>
        <v>-70540.980363667419</v>
      </c>
      <c r="J71" s="16">
        <f t="shared" si="34"/>
        <v>77959.042189568747</v>
      </c>
      <c r="K71" s="16">
        <f t="shared" si="34"/>
        <v>139448.68868706003</v>
      </c>
      <c r="L71" s="16">
        <f t="shared" si="34"/>
        <v>65984.334083777387</v>
      </c>
      <c r="M71" s="16">
        <f t="shared" si="34"/>
        <v>-21357.555935398443</v>
      </c>
      <c r="N71" s="16">
        <f t="shared" si="34"/>
        <v>-19777.232265067229</v>
      </c>
      <c r="O71" s="16">
        <f t="shared" si="34"/>
        <v>-15867.564351258508</v>
      </c>
      <c r="P71" s="16">
        <f t="shared" si="31"/>
        <v>-18820.319137481274</v>
      </c>
    </row>
    <row r="72" spans="1:16" x14ac:dyDescent="0.2">
      <c r="A72" s="8" t="s">
        <v>311</v>
      </c>
      <c r="B72" t="s">
        <v>312</v>
      </c>
      <c r="D72" s="16">
        <f t="shared" ref="D72:O72" si="35">D106+D107-C106-C107</f>
        <v>-49770.299006776389</v>
      </c>
      <c r="E72" s="16">
        <f t="shared" si="35"/>
        <v>-26532.746081319769</v>
      </c>
      <c r="F72" s="16">
        <f t="shared" si="35"/>
        <v>39059.95350202507</v>
      </c>
      <c r="G72" s="16">
        <f t="shared" si="35"/>
        <v>-41587.387737484474</v>
      </c>
      <c r="H72" s="16">
        <f t="shared" si="35"/>
        <v>-20989.225189398065</v>
      </c>
      <c r="I72" s="16">
        <f t="shared" si="35"/>
        <v>101261.82962174548</v>
      </c>
      <c r="J72" s="16">
        <f t="shared" si="35"/>
        <v>-17859.367081889643</v>
      </c>
      <c r="K72" s="16">
        <f t="shared" si="35"/>
        <v>-11987.075122407317</v>
      </c>
      <c r="L72" s="16">
        <f t="shared" si="35"/>
        <v>64726.93327139903</v>
      </c>
      <c r="M72" s="16">
        <f t="shared" si="35"/>
        <v>54201.240234443692</v>
      </c>
      <c r="N72" s="16">
        <f t="shared" si="35"/>
        <v>-32782.489013480292</v>
      </c>
      <c r="O72" s="16">
        <f t="shared" si="35"/>
        <v>-60002.387368889533</v>
      </c>
      <c r="P72" s="16">
        <f t="shared" si="31"/>
        <v>-2261.0199720322271</v>
      </c>
    </row>
    <row r="73" spans="1:16" x14ac:dyDescent="0.2">
      <c r="A73" s="8" t="s">
        <v>313</v>
      </c>
      <c r="B73" t="s">
        <v>314</v>
      </c>
      <c r="D73" s="16">
        <f t="shared" ref="D73:O73" si="36">C44-D44+C102+C103-D102-D103+D108+D109-C108-C109+D104-C104+D54-C54</f>
        <v>-12428.668188412401</v>
      </c>
      <c r="E73" s="16">
        <f t="shared" si="36"/>
        <v>6767.7858788357626</v>
      </c>
      <c r="F73" s="16">
        <f t="shared" si="36"/>
        <v>-6976.1302822555299</v>
      </c>
      <c r="G73" s="16">
        <f t="shared" si="36"/>
        <v>-21222.042956926693</v>
      </c>
      <c r="H73" s="16">
        <f t="shared" si="36"/>
        <v>4711.7433346431271</v>
      </c>
      <c r="I73" s="16">
        <f t="shared" si="36"/>
        <v>-14478.386299931131</v>
      </c>
      <c r="J73" s="16">
        <f t="shared" si="36"/>
        <v>26836.39369073715</v>
      </c>
      <c r="K73" s="16">
        <f t="shared" si="36"/>
        <v>19426.91685348098</v>
      </c>
      <c r="L73" s="16">
        <f t="shared" si="36"/>
        <v>2506.2705135076612</v>
      </c>
      <c r="M73" s="16">
        <f t="shared" si="36"/>
        <v>-32899.098604181105</v>
      </c>
      <c r="N73" s="16">
        <f t="shared" si="36"/>
        <v>16709.929282436005</v>
      </c>
      <c r="O73" s="16">
        <f t="shared" si="36"/>
        <v>13968.110350687683</v>
      </c>
      <c r="P73" s="16">
        <f t="shared" si="31"/>
        <v>2922.8235726215134</v>
      </c>
    </row>
    <row r="74" spans="1:16" x14ac:dyDescent="0.2">
      <c r="A74" s="17" t="s">
        <v>315</v>
      </c>
      <c r="B74" s="17" t="s">
        <v>316</v>
      </c>
      <c r="C74" s="17"/>
      <c r="D74" s="18">
        <f t="shared" ref="D74:O74" si="37">D68+D69+D70+D71+D72+D73</f>
        <v>-78197.488834250355</v>
      </c>
      <c r="E74" s="18">
        <f t="shared" si="37"/>
        <v>-66697.118376961007</v>
      </c>
      <c r="F74" s="18">
        <f t="shared" si="37"/>
        <v>-80708.828559883987</v>
      </c>
      <c r="G74" s="18">
        <f t="shared" si="37"/>
        <v>-136553.68007946122</v>
      </c>
      <c r="H74" s="18">
        <f t="shared" si="37"/>
        <v>-62037.054637423491</v>
      </c>
      <c r="I74" s="18">
        <f t="shared" si="37"/>
        <v>5978.6965564206112</v>
      </c>
      <c r="J74" s="18">
        <f t="shared" si="37"/>
        <v>109145.60497008725</v>
      </c>
      <c r="K74" s="18">
        <f t="shared" si="37"/>
        <v>200406.02770028383</v>
      </c>
      <c r="L74" s="18">
        <f t="shared" si="37"/>
        <v>193250.56519949797</v>
      </c>
      <c r="M74" s="18">
        <f t="shared" si="37"/>
        <v>39318.033970277138</v>
      </c>
      <c r="N74" s="18">
        <f t="shared" si="37"/>
        <v>-14639.132732498598</v>
      </c>
      <c r="O74" s="18">
        <f t="shared" si="37"/>
        <v>-53879.77250475956</v>
      </c>
      <c r="P74" s="18">
        <f t="shared" si="31"/>
        <v>55385.852671328597</v>
      </c>
    </row>
    <row r="75" spans="1:16" x14ac:dyDescent="0.2">
      <c r="A75" s="8" t="s">
        <v>317</v>
      </c>
      <c r="B75" t="s">
        <v>318</v>
      </c>
      <c r="D75" s="16">
        <f>-Drivers!D17</f>
        <v>0</v>
      </c>
      <c r="E75" s="16">
        <f>-Drivers!E17</f>
        <v>0</v>
      </c>
      <c r="F75" s="16">
        <f>-Drivers!F17</f>
        <v>0</v>
      </c>
      <c r="G75" s="16">
        <f>-Drivers!G17</f>
        <v>-6000</v>
      </c>
      <c r="H75" s="16">
        <f>-Drivers!H17</f>
        <v>0</v>
      </c>
      <c r="I75" s="16">
        <f>-Drivers!I17</f>
        <v>-12000</v>
      </c>
      <c r="J75" s="16">
        <f>-Drivers!J17</f>
        <v>0</v>
      </c>
      <c r="K75" s="16">
        <f>-Drivers!K17</f>
        <v>0</v>
      </c>
      <c r="L75" s="16">
        <f>-Drivers!L17</f>
        <v>0</v>
      </c>
      <c r="M75" s="16">
        <f>-Drivers!M17</f>
        <v>0</v>
      </c>
      <c r="N75" s="16">
        <f>-Drivers!N17</f>
        <v>0</v>
      </c>
      <c r="O75" s="16">
        <f>-Drivers!O17</f>
        <v>0</v>
      </c>
      <c r="P75" s="16">
        <f t="shared" si="31"/>
        <v>-18000</v>
      </c>
    </row>
    <row r="76" spans="1:16" x14ac:dyDescent="0.2">
      <c r="A76" s="8" t="s">
        <v>319</v>
      </c>
      <c r="B76" t="s">
        <v>320</v>
      </c>
      <c r="D76" s="16">
        <f>-MIN(Assumptions!$H$57,C113)</f>
        <v>-4166.67</v>
      </c>
      <c r="E76" s="16">
        <f>-MIN(Assumptions!$H$57,D113)</f>
        <v>-4166.67</v>
      </c>
      <c r="F76" s="16">
        <f>-MIN(Assumptions!$H$57,E113)</f>
        <v>-4166.67</v>
      </c>
      <c r="G76" s="16">
        <f>-MIN(Assumptions!$H$57,F113)</f>
        <v>-4166.67</v>
      </c>
      <c r="H76" s="16">
        <f>-MIN(Assumptions!$H$57,G113)</f>
        <v>-4166.67</v>
      </c>
      <c r="I76" s="16">
        <f>-MIN(Assumptions!$H$57,H113)</f>
        <v>-4166.67</v>
      </c>
      <c r="J76" s="16">
        <f>-MIN(Assumptions!$H$57,I113)</f>
        <v>-4166.67</v>
      </c>
      <c r="K76" s="16">
        <f>-MIN(Assumptions!$H$57,J113)</f>
        <v>-4166.67</v>
      </c>
      <c r="L76" s="16">
        <f>-MIN(Assumptions!$H$57,K113)</f>
        <v>-4166.67</v>
      </c>
      <c r="M76" s="16">
        <f>-MIN(Assumptions!$H$57,L113)</f>
        <v>-4166.67</v>
      </c>
      <c r="N76" s="16">
        <f>-MIN(Assumptions!$H$57,M113)</f>
        <v>-4166.67</v>
      </c>
      <c r="O76" s="16">
        <f>-MIN(Assumptions!$H$57,N113)</f>
        <v>-4166.67</v>
      </c>
      <c r="P76" s="16">
        <f t="shared" si="31"/>
        <v>-50000.039999999986</v>
      </c>
    </row>
    <row r="77" spans="1:16" x14ac:dyDescent="0.2">
      <c r="A77" s="8" t="s">
        <v>321</v>
      </c>
      <c r="B77" t="s">
        <v>322</v>
      </c>
      <c r="D77" s="16">
        <f>IF(D112&lt;Assumptions!$H$51,MIN(Assumptions!$H$50-C56,CEILING(MAX(0,Assumptions!$H$52-D112),Assumptions!$H$54)),0)</f>
        <v>0</v>
      </c>
      <c r="E77" s="16">
        <f>IF(E112&lt;Assumptions!$H$51,MIN(Assumptions!$H$50-D56,CEILING(MAX(0,Assumptions!$H$52-E112),Assumptions!$H$54)),0)</f>
        <v>0</v>
      </c>
      <c r="F77" s="16">
        <f>IF(F112&lt;Assumptions!$H$51,MIN(Assumptions!$H$50-E56,CEILING(MAX(0,Assumptions!$H$52-F112),Assumptions!$H$54)),0)</f>
        <v>0</v>
      </c>
      <c r="G77" s="16">
        <f>IF(G112&lt;Assumptions!$H$51,MIN(Assumptions!$H$50-F56,CEILING(MAX(0,Assumptions!$H$52-G112),Assumptions!$H$54)),0)</f>
        <v>131000</v>
      </c>
      <c r="H77" s="16">
        <f>IF(H112&lt;Assumptions!$H$51,MIN(Assumptions!$H$50-G56,CEILING(MAX(0,Assumptions!$H$52-H112),Assumptions!$H$54)),0)</f>
        <v>66000</v>
      </c>
      <c r="I77" s="16">
        <f>IF(I112&lt;Assumptions!$H$51,MIN(Assumptions!$H$50-H56,CEILING(MAX(0,Assumptions!$H$52-I112),Assumptions!$H$54)),0)</f>
        <v>0</v>
      </c>
      <c r="J77" s="16">
        <f>IF(J112&lt;Assumptions!$H$51,MIN(Assumptions!$H$50-I56,CEILING(MAX(0,Assumptions!$H$52-J112),Assumptions!$H$54)),0)</f>
        <v>0</v>
      </c>
      <c r="K77" s="16">
        <f>IF(K112&lt;Assumptions!$H$51,MIN(Assumptions!$H$50-J56,CEILING(MAX(0,Assumptions!$H$52-K112),Assumptions!$H$54)),0)</f>
        <v>0</v>
      </c>
      <c r="L77" s="16">
        <f>IF(L112&lt;Assumptions!$H$51,MIN(Assumptions!$H$50-K56,CEILING(MAX(0,Assumptions!$H$52-L112),Assumptions!$H$54)),0)</f>
        <v>0</v>
      </c>
      <c r="M77" s="16">
        <f>IF(M112&lt;Assumptions!$H$51,MIN(Assumptions!$H$50-L56,CEILING(MAX(0,Assumptions!$H$52-M112),Assumptions!$H$54)),0)</f>
        <v>0</v>
      </c>
      <c r="N77" s="16">
        <f>IF(N112&lt;Assumptions!$H$51,MIN(Assumptions!$H$50-M56,CEILING(MAX(0,Assumptions!$H$52-N112),Assumptions!$H$54)),0)</f>
        <v>0</v>
      </c>
      <c r="O77" s="16">
        <f>IF(O112&lt;Assumptions!$H$51,MIN(Assumptions!$H$50-N56,CEILING(MAX(0,Assumptions!$H$52-O112),Assumptions!$H$54)),0)</f>
        <v>0</v>
      </c>
      <c r="P77" s="16">
        <f t="shared" si="31"/>
        <v>197000</v>
      </c>
    </row>
    <row r="78" spans="1:16" x14ac:dyDescent="0.2">
      <c r="A78" s="8" t="s">
        <v>323</v>
      </c>
      <c r="B78" t="s">
        <v>324</v>
      </c>
      <c r="D78" s="16">
        <f>IF((D112&gt;Assumptions!$H$53)*(C56&gt;0),-MIN(C56,FLOOR(MAX(0,D112-Assumptions!$H$52),Assumptions!$H$54)),0)</f>
        <v>0</v>
      </c>
      <c r="E78" s="16">
        <f>IF((E112&gt;Assumptions!$H$53)*(D56&gt;0),-MIN(D56,FLOOR(MAX(0,E112-Assumptions!$H$52),Assumptions!$H$54)),0)</f>
        <v>0</v>
      </c>
      <c r="F78" s="16">
        <f>IF((F112&gt;Assumptions!$H$53)*(E56&gt;0),-MIN(E56,FLOOR(MAX(0,F112-Assumptions!$H$52),Assumptions!$H$54)),0)</f>
        <v>0</v>
      </c>
      <c r="G78" s="16">
        <f>IF((G112&gt;Assumptions!$H$53)*(F56&gt;0),-MIN(F56,FLOOR(MAX(0,G112-Assumptions!$H$52),Assumptions!$H$54)),0)</f>
        <v>0</v>
      </c>
      <c r="H78" s="16">
        <f>IF((H112&gt;Assumptions!$H$53)*(G56&gt;0),-MIN(G56,FLOOR(MAX(0,H112-Assumptions!$H$52),Assumptions!$H$54)),0)</f>
        <v>0</v>
      </c>
      <c r="I78" s="16">
        <f>IF((I112&gt;Assumptions!$H$53)*(H56&gt;0),-MIN(H56,FLOOR(MAX(0,I112-Assumptions!$H$52),Assumptions!$H$54)),0)</f>
        <v>0</v>
      </c>
      <c r="J78" s="16">
        <f>IF((J112&gt;Assumptions!$H$53)*(I56&gt;0),-MIN(I56,FLOOR(MAX(0,J112-Assumptions!$H$52),Assumptions!$H$54)),0)</f>
        <v>-95000</v>
      </c>
      <c r="K78" s="16">
        <f>IF((K112&gt;Assumptions!$H$53)*(J56&gt;0),-MIN(J56,FLOOR(MAX(0,K112-Assumptions!$H$52),Assumptions!$H$54)),0)</f>
        <v>-102000</v>
      </c>
      <c r="L78" s="16">
        <f>IF((L112&gt;Assumptions!$H$53)*(K56&gt;0),-MIN(K56,FLOOR(MAX(0,L112-Assumptions!$H$52),Assumptions!$H$54)),0)</f>
        <v>0</v>
      </c>
      <c r="M78" s="16">
        <f>IF((M112&gt;Assumptions!$H$53)*(L56&gt;0),-MIN(L56,FLOOR(MAX(0,M112-Assumptions!$H$52),Assumptions!$H$54)),0)</f>
        <v>0</v>
      </c>
      <c r="N78" s="16">
        <f>IF((N112&gt;Assumptions!$H$53)*(M56&gt;0),-MIN(M56,FLOOR(MAX(0,N112-Assumptions!$H$52),Assumptions!$H$54)),0)</f>
        <v>0</v>
      </c>
      <c r="O78" s="16">
        <f>IF((O112&gt;Assumptions!$H$53)*(N56&gt;0),-MIN(N56,FLOOR(MAX(0,O112-Assumptions!$H$52),Assumptions!$H$54)),0)</f>
        <v>0</v>
      </c>
      <c r="P78" s="16">
        <f t="shared" si="31"/>
        <v>-197000</v>
      </c>
    </row>
    <row r="79" spans="1:16" x14ac:dyDescent="0.2">
      <c r="A79" s="8" t="s">
        <v>325</v>
      </c>
      <c r="B79" t="s">
        <v>326</v>
      </c>
      <c r="D79" s="16">
        <f>IF(D112+D77&lt;Assumptions!$H$51,CEILING(MAX(0,Assumptions!$H$52-D112-D77),Assumptions!$H$54),0)</f>
        <v>0</v>
      </c>
      <c r="E79" s="16">
        <f>IF(E112+E77&lt;Assumptions!$H$51,CEILING(MAX(0,Assumptions!$H$52-E112-E77),Assumptions!$H$54),0)</f>
        <v>0</v>
      </c>
      <c r="F79" s="16">
        <f>IF(F112+F77&lt;Assumptions!$H$51,CEILING(MAX(0,Assumptions!$H$52-F112-F77),Assumptions!$H$54),0)</f>
        <v>0</v>
      </c>
      <c r="G79" s="16">
        <f>IF(G112+G77&lt;Assumptions!$H$51,CEILING(MAX(0,Assumptions!$H$52-G112-G77),Assumptions!$H$54),0)</f>
        <v>0</v>
      </c>
      <c r="H79" s="16">
        <f>IF(H112+H77&lt;Assumptions!$H$51,CEILING(MAX(0,Assumptions!$H$52-H112-H77),Assumptions!$H$54),0)</f>
        <v>0</v>
      </c>
      <c r="I79" s="16">
        <f>IF(I112+I77&lt;Assumptions!$H$51,CEILING(MAX(0,Assumptions!$H$52-I112-I77),Assumptions!$H$54),0)</f>
        <v>0</v>
      </c>
      <c r="J79" s="16">
        <f>IF(J112+J77&lt;Assumptions!$H$51,CEILING(MAX(0,Assumptions!$H$52-J112-J77),Assumptions!$H$54),0)</f>
        <v>0</v>
      </c>
      <c r="K79" s="16">
        <f>IF(K112+K77&lt;Assumptions!$H$51,CEILING(MAX(0,Assumptions!$H$52-K112-K77),Assumptions!$H$54),0)</f>
        <v>0</v>
      </c>
      <c r="L79" s="16">
        <f>IF(L112+L77&lt;Assumptions!$H$51,CEILING(MAX(0,Assumptions!$H$52-L112-L77),Assumptions!$H$54),0)</f>
        <v>0</v>
      </c>
      <c r="M79" s="16">
        <f>IF(M112+M77&lt;Assumptions!$H$51,CEILING(MAX(0,Assumptions!$H$52-M112-M77),Assumptions!$H$54),0)</f>
        <v>0</v>
      </c>
      <c r="N79" s="16">
        <f>IF(N112+N77&lt;Assumptions!$H$51,CEILING(MAX(0,Assumptions!$H$52-N112-N77),Assumptions!$H$54),0)</f>
        <v>0</v>
      </c>
      <c r="O79" s="16">
        <f>IF(O112+O77&lt;Assumptions!$H$51,CEILING(MAX(0,Assumptions!$H$52-O112-O77),Assumptions!$H$54),0)</f>
        <v>0</v>
      </c>
      <c r="P79" s="16">
        <f t="shared" si="31"/>
        <v>0</v>
      </c>
    </row>
    <row r="80" spans="1:16" x14ac:dyDescent="0.2">
      <c r="A80" s="8" t="s">
        <v>327</v>
      </c>
      <c r="B80" t="s">
        <v>328</v>
      </c>
      <c r="D80" s="16">
        <f>IF(Drivers!D22*(D56&lt;0.005)*(D112+D77+D78+D79&gt;Assumptions!$H$55),-FLOOR(MAX(0,D112+D77+D78+D79-Assumptions!$H$56),1000),0)</f>
        <v>0</v>
      </c>
      <c r="E80" s="16">
        <f>IF(Drivers!E22*(E56&lt;0.005)*(E112+E77+E78+E79&gt;Assumptions!$H$55),-FLOOR(MAX(0,E112+E77+E78+E79-Assumptions!$H$56),1000),0)</f>
        <v>0</v>
      </c>
      <c r="F80" s="16">
        <f>IF(Drivers!F22*(F56&lt;0.005)*(F112+F77+F78+F79&gt;Assumptions!$H$55),-FLOOR(MAX(0,F112+F77+F78+F79-Assumptions!$H$56),1000),0)</f>
        <v>0</v>
      </c>
      <c r="G80" s="16">
        <f>IF(Drivers!G22*(G56&lt;0.005)*(G112+G77+G78+G79&gt;Assumptions!$H$55),-FLOOR(MAX(0,G112+G77+G78+G79-Assumptions!$H$56),1000),0)</f>
        <v>0</v>
      </c>
      <c r="H80" s="16">
        <f>IF(Drivers!H22*(H56&lt;0.005)*(H112+H77+H78+H79&gt;Assumptions!$H$55),-FLOOR(MAX(0,H112+H77+H78+H79-Assumptions!$H$56),1000),0)</f>
        <v>0</v>
      </c>
      <c r="I80" s="16">
        <f>IF(Drivers!I22*(I56&lt;0.005)*(I112+I77+I78+I79&gt;Assumptions!$H$55),-FLOOR(MAX(0,I112+I77+I78+I79-Assumptions!$H$56),1000),0)</f>
        <v>0</v>
      </c>
      <c r="J80" s="16">
        <f>IF(Drivers!J22*(J56&lt;0.005)*(J112+J77+J78+J79&gt;Assumptions!$H$55),-FLOOR(MAX(0,J112+J77+J78+J79-Assumptions!$H$56),1000),0)</f>
        <v>0</v>
      </c>
      <c r="K80" s="16">
        <f>IF(Drivers!K22*(K56&lt;0.005)*(K112+K77+K78+K79&gt;Assumptions!$H$55),-FLOOR(MAX(0,K112+K77+K78+K79-Assumptions!$H$56),1000),0)</f>
        <v>0</v>
      </c>
      <c r="L80" s="16">
        <f>IF(Drivers!L22*(L56&lt;0.005)*(L112+L77+L78+L79&gt;Assumptions!$H$55),-FLOOR(MAX(0,L112+L77+L78+L79-Assumptions!$H$56),1000),0)</f>
        <v>0</v>
      </c>
      <c r="M80" s="16">
        <f>IF(Drivers!M22*(M56&lt;0.005)*(M112+M77+M78+M79&gt;Assumptions!$H$55),-FLOOR(MAX(0,M112+M77+M78+M79-Assumptions!$H$56),1000),0)</f>
        <v>0</v>
      </c>
      <c r="N80" s="16">
        <f>IF(Drivers!N22*(N56&lt;0.005)*(N112+N77+N78+N79&gt;Assumptions!$H$55),-FLOOR(MAX(0,N112+N77+N78+N79-Assumptions!$H$56),1000),0)</f>
        <v>0</v>
      </c>
      <c r="O80" s="16">
        <f>IF(Drivers!O22*(O56&lt;0.005)*(O112+O77+O78+O79&gt;Assumptions!$H$55),-FLOOR(MAX(0,O112+O77+O78+O79-Assumptions!$H$56),1000),0)</f>
        <v>0</v>
      </c>
      <c r="P80" s="16">
        <f t="shared" si="31"/>
        <v>0</v>
      </c>
    </row>
    <row r="81" spans="1:16" x14ac:dyDescent="0.2">
      <c r="A81" s="17" t="s">
        <v>329</v>
      </c>
      <c r="B81" s="17" t="s">
        <v>330</v>
      </c>
      <c r="C81" s="17"/>
      <c r="D81" s="18">
        <f t="shared" ref="D81:O81" si="38">D76+D77+D78+D79+D80</f>
        <v>-4166.67</v>
      </c>
      <c r="E81" s="18">
        <f t="shared" si="38"/>
        <v>-4166.67</v>
      </c>
      <c r="F81" s="18">
        <f t="shared" si="38"/>
        <v>-4166.67</v>
      </c>
      <c r="G81" s="18">
        <f t="shared" si="38"/>
        <v>126833.33</v>
      </c>
      <c r="H81" s="18">
        <f t="shared" si="38"/>
        <v>61833.33</v>
      </c>
      <c r="I81" s="18">
        <f t="shared" si="38"/>
        <v>-4166.67</v>
      </c>
      <c r="J81" s="18">
        <f t="shared" si="38"/>
        <v>-99166.67</v>
      </c>
      <c r="K81" s="18">
        <f t="shared" si="38"/>
        <v>-106166.67</v>
      </c>
      <c r="L81" s="18">
        <f t="shared" si="38"/>
        <v>-4166.67</v>
      </c>
      <c r="M81" s="18">
        <f t="shared" si="38"/>
        <v>-4166.67</v>
      </c>
      <c r="N81" s="18">
        <f t="shared" si="38"/>
        <v>-4166.67</v>
      </c>
      <c r="O81" s="18">
        <f t="shared" si="38"/>
        <v>-4166.67</v>
      </c>
      <c r="P81" s="18">
        <f t="shared" si="31"/>
        <v>-50000.039999999979</v>
      </c>
    </row>
    <row r="82" spans="1:16" x14ac:dyDescent="0.2">
      <c r="A82" s="17" t="s">
        <v>331</v>
      </c>
      <c r="B82" s="17" t="s">
        <v>332</v>
      </c>
      <c r="C82" s="17"/>
      <c r="D82" s="18">
        <f t="shared" ref="D82:O82" si="39">D74+D75+D81</f>
        <v>-82364.158834250353</v>
      </c>
      <c r="E82" s="18">
        <f t="shared" si="39"/>
        <v>-70863.788376961005</v>
      </c>
      <c r="F82" s="18">
        <f t="shared" si="39"/>
        <v>-84875.498559883985</v>
      </c>
      <c r="G82" s="18">
        <f t="shared" si="39"/>
        <v>-15720.350079461219</v>
      </c>
      <c r="H82" s="18">
        <f t="shared" si="39"/>
        <v>-203.72463742348918</v>
      </c>
      <c r="I82" s="18">
        <f t="shared" si="39"/>
        <v>-10187.973443579389</v>
      </c>
      <c r="J82" s="18">
        <f t="shared" si="39"/>
        <v>9978.9349700872554</v>
      </c>
      <c r="K82" s="18">
        <f t="shared" si="39"/>
        <v>94239.357700283828</v>
      </c>
      <c r="L82" s="18">
        <f t="shared" si="39"/>
        <v>189083.89519949796</v>
      </c>
      <c r="M82" s="18">
        <f t="shared" si="39"/>
        <v>35151.36397027714</v>
      </c>
      <c r="N82" s="18">
        <f t="shared" si="39"/>
        <v>-18805.802732498596</v>
      </c>
      <c r="O82" s="18">
        <f t="shared" si="39"/>
        <v>-58046.442504759558</v>
      </c>
      <c r="P82" s="18">
        <f t="shared" si="31"/>
        <v>-12614.187328671425</v>
      </c>
    </row>
    <row r="84" spans="1:16" x14ac:dyDescent="0.2">
      <c r="A84" s="15" t="s">
        <v>333</v>
      </c>
    </row>
    <row r="85" spans="1:16" x14ac:dyDescent="0.2">
      <c r="A85" s="17" t="s">
        <v>334</v>
      </c>
      <c r="B85" s="17" t="s">
        <v>335</v>
      </c>
      <c r="C85" s="18">
        <f>Hist_BS!$AI$31</f>
        <v>0</v>
      </c>
      <c r="D85" s="18">
        <f t="shared" ref="D85:O85" si="40">D51-D65</f>
        <v>0</v>
      </c>
      <c r="E85" s="18">
        <f t="shared" si="40"/>
        <v>0</v>
      </c>
      <c r="F85" s="18">
        <f t="shared" si="40"/>
        <v>0</v>
      </c>
      <c r="G85" s="18">
        <f t="shared" si="40"/>
        <v>0</v>
      </c>
      <c r="H85" s="18">
        <f t="shared" si="40"/>
        <v>0</v>
      </c>
      <c r="I85" s="18">
        <f t="shared" si="40"/>
        <v>0</v>
      </c>
      <c r="J85" s="18">
        <f t="shared" si="40"/>
        <v>0</v>
      </c>
      <c r="K85" s="18">
        <f t="shared" si="40"/>
        <v>0</v>
      </c>
      <c r="L85" s="18">
        <f t="shared" si="40"/>
        <v>0</v>
      </c>
      <c r="M85" s="18">
        <f t="shared" si="40"/>
        <v>0</v>
      </c>
      <c r="N85" s="18">
        <f t="shared" si="40"/>
        <v>0</v>
      </c>
      <c r="O85" s="18">
        <f t="shared" si="40"/>
        <v>0</v>
      </c>
      <c r="P85" s="17"/>
    </row>
    <row r="86" spans="1:16" x14ac:dyDescent="0.2">
      <c r="A86" s="17" t="s">
        <v>336</v>
      </c>
      <c r="B86" s="17" t="s">
        <v>337</v>
      </c>
      <c r="C86" s="17"/>
      <c r="D86" s="18">
        <f t="shared" ref="D86:O86" si="41">C41+D82-D41</f>
        <v>0</v>
      </c>
      <c r="E86" s="18">
        <f t="shared" si="41"/>
        <v>0</v>
      </c>
      <c r="F86" s="18">
        <f t="shared" si="41"/>
        <v>0</v>
      </c>
      <c r="G86" s="18">
        <f t="shared" si="41"/>
        <v>0</v>
      </c>
      <c r="H86" s="18">
        <f t="shared" si="41"/>
        <v>0</v>
      </c>
      <c r="I86" s="18">
        <f t="shared" si="41"/>
        <v>0</v>
      </c>
      <c r="J86" s="18">
        <f t="shared" si="41"/>
        <v>0</v>
      </c>
      <c r="K86" s="18">
        <f t="shared" si="41"/>
        <v>0</v>
      </c>
      <c r="L86" s="18">
        <f t="shared" si="41"/>
        <v>0</v>
      </c>
      <c r="M86" s="18">
        <f t="shared" si="41"/>
        <v>0</v>
      </c>
      <c r="N86" s="18">
        <f t="shared" si="41"/>
        <v>0</v>
      </c>
      <c r="O86" s="18">
        <f t="shared" si="41"/>
        <v>0</v>
      </c>
      <c r="P86" s="17"/>
    </row>
    <row r="88" spans="1:16" x14ac:dyDescent="0.2">
      <c r="A88" s="15" t="s">
        <v>338</v>
      </c>
    </row>
    <row r="89" spans="1:16" x14ac:dyDescent="0.2">
      <c r="A89" s="8" t="s">
        <v>339</v>
      </c>
      <c r="B89" t="s">
        <v>340</v>
      </c>
      <c r="D89" s="19">
        <f>Drivers!D6*Assumptions!$H$8*(1+Assumptions!$H$9)^Assumptions!$H$10</f>
        <v>50.43352850738929</v>
      </c>
      <c r="E89" s="19">
        <f>Drivers!E6*Assumptions!$H$8*(1+Assumptions!$H$9)^Assumptions!$H$10</f>
        <v>37.289959581459463</v>
      </c>
      <c r="F89" s="19">
        <f>Drivers!F6*Assumptions!$H$8*(1+Assumptions!$H$9)^Assumptions!$H$10</f>
        <v>31.44263848807071</v>
      </c>
      <c r="G89" s="19">
        <f>Drivers!G6*Assumptions!$H$8*(1+Assumptions!$H$9)^Assumptions!$H$10</f>
        <v>23.546461093011349</v>
      </c>
      <c r="H89" s="19">
        <f>Drivers!H6*Assumptions!$H$8*(1+Assumptions!$H$9)^Assumptions!$H$10</f>
        <v>22.673746598248819</v>
      </c>
      <c r="I89" s="19">
        <f>Drivers!I6*Assumptions!$H$8*(1+Assumptions!$H$9)^Assumptions!$H$10</f>
        <v>49.435385609282548</v>
      </c>
      <c r="J89" s="19">
        <f>Drivers!J6*Assumptions!$H$8*(1+Assumptions!$H$9)^Assumptions!$H$10</f>
        <v>111.3188523533847</v>
      </c>
      <c r="K89" s="19">
        <f>Drivers!K6*Assumptions!$H$8*(1+Assumptions!$H$9)^Assumptions!$H$10</f>
        <v>132.99826012537619</v>
      </c>
      <c r="L89" s="19">
        <f>Drivers!L6*Assumptions!$H$8*(1+Assumptions!$H$9)^Assumptions!$H$10</f>
        <v>128.73151679809061</v>
      </c>
      <c r="M89" s="19">
        <f>Drivers!M6*Assumptions!$H$8*(1+Assumptions!$H$9)^Assumptions!$H$10</f>
        <v>121.4859369861383</v>
      </c>
      <c r="N89" s="19">
        <f>Drivers!N6*Assumptions!$H$8*(1+Assumptions!$H$9)^Assumptions!$H$10</f>
        <v>105.96840276983779</v>
      </c>
      <c r="O89" s="19">
        <f>Drivers!O6*Assumptions!$H$8*(1+Assumptions!$H$9)^Assumptions!$H$10</f>
        <v>74.610758917454177</v>
      </c>
      <c r="P89" s="16">
        <f>SUM(D89:O89)</f>
        <v>889.93544782774393</v>
      </c>
    </row>
    <row r="90" spans="1:16" x14ac:dyDescent="0.2">
      <c r="A90" s="8" t="s">
        <v>341</v>
      </c>
      <c r="B90" t="s">
        <v>342</v>
      </c>
      <c r="D90" s="16">
        <f>Assumptions!$H$25*(1+Assumptions!$H$9)</f>
        <v>2591.889670691548</v>
      </c>
      <c r="E90" s="16">
        <f>Assumptions!$H$25*(1+Assumptions!$H$9)</f>
        <v>2591.889670691548</v>
      </c>
      <c r="F90" s="16">
        <f>Assumptions!$H$25*(1+Assumptions!$H$9)</f>
        <v>2591.889670691548</v>
      </c>
      <c r="G90" s="16">
        <f>Assumptions!$H$25*(1+Assumptions!$H$9)</f>
        <v>2591.889670691548</v>
      </c>
      <c r="H90" s="16">
        <f>Assumptions!$H$25*(1+Assumptions!$H$9)</f>
        <v>2591.889670691548</v>
      </c>
      <c r="I90" s="16">
        <f>Assumptions!$H$25*(1+Assumptions!$H$9)</f>
        <v>2591.889670691548</v>
      </c>
      <c r="J90" s="16">
        <f>Assumptions!$H$25*(1+Assumptions!$H$9)</f>
        <v>2591.889670691548</v>
      </c>
      <c r="K90" s="16">
        <f>Assumptions!$H$25*(1+Assumptions!$H$9)</f>
        <v>2591.889670691548</v>
      </c>
      <c r="L90" s="16">
        <f>Assumptions!$H$25*(1+Assumptions!$H$9)</f>
        <v>2591.889670691548</v>
      </c>
      <c r="M90" s="16">
        <f>Assumptions!$H$25*(1+Assumptions!$H$9)</f>
        <v>2591.889670691548</v>
      </c>
      <c r="N90" s="16">
        <f>Assumptions!$H$25*(1+Assumptions!$H$9)</f>
        <v>2591.889670691548</v>
      </c>
      <c r="O90" s="16">
        <f>Assumptions!$H$25*(1+Assumptions!$H$9)</f>
        <v>2591.889670691548</v>
      </c>
    </row>
    <row r="91" spans="1:16" x14ac:dyDescent="0.2">
      <c r="A91" s="8" t="s">
        <v>343</v>
      </c>
      <c r="B91" t="s">
        <v>344</v>
      </c>
      <c r="D91" s="20">
        <f>Assumptions!$H$26+Assumptions!$H$11</f>
        <v>2.3285991209537889E-2</v>
      </c>
      <c r="E91" s="20">
        <f>Assumptions!$H$26+Assumptions!$H$11</f>
        <v>2.3285991209537889E-2</v>
      </c>
      <c r="F91" s="20">
        <f>Assumptions!$H$26+Assumptions!$H$11</f>
        <v>2.3285991209537889E-2</v>
      </c>
      <c r="G91" s="20">
        <f>Assumptions!$H$26+Assumptions!$H$11</f>
        <v>2.3285991209537889E-2</v>
      </c>
      <c r="H91" s="20">
        <f>Assumptions!$H$26+Assumptions!$H$11</f>
        <v>2.3285991209537889E-2</v>
      </c>
      <c r="I91" s="20">
        <f>Assumptions!$H$26+Assumptions!$H$11</f>
        <v>2.3285991209537889E-2</v>
      </c>
      <c r="J91" s="20">
        <f>Assumptions!$H$26+Assumptions!$H$11</f>
        <v>2.3285991209537889E-2</v>
      </c>
      <c r="K91" s="20">
        <f>Assumptions!$H$26+Assumptions!$H$11</f>
        <v>2.3285991209537889E-2</v>
      </c>
      <c r="L91" s="20">
        <f>Assumptions!$H$26+Assumptions!$H$11</f>
        <v>2.3285991209537889E-2</v>
      </c>
      <c r="M91" s="20">
        <f>Assumptions!$H$26+Assumptions!$H$11</f>
        <v>2.3285991209537889E-2</v>
      </c>
      <c r="N91" s="20">
        <f>Assumptions!$H$26+Assumptions!$H$11</f>
        <v>2.3285991209537889E-2</v>
      </c>
      <c r="O91" s="20">
        <f>Assumptions!$H$26+Assumptions!$H$11</f>
        <v>2.3285991209537889E-2</v>
      </c>
    </row>
    <row r="92" spans="1:16" x14ac:dyDescent="0.2">
      <c r="A92" s="8" t="s">
        <v>345</v>
      </c>
      <c r="B92" t="s">
        <v>346</v>
      </c>
      <c r="D92" s="16">
        <f t="shared" ref="D92:O92" si="42">D89*D90*(1-D91)</f>
        <v>127674.24009872568</v>
      </c>
      <c r="E92" s="16">
        <f t="shared" si="42"/>
        <v>94400.835987065162</v>
      </c>
      <c r="F92" s="16">
        <f t="shared" si="42"/>
        <v>79598.138271749107</v>
      </c>
      <c r="G92" s="16">
        <f t="shared" si="42"/>
        <v>59608.689219989195</v>
      </c>
      <c r="H92" s="16">
        <f t="shared" si="42"/>
        <v>57399.381974599368</v>
      </c>
      <c r="I92" s="16">
        <f t="shared" si="42"/>
        <v>125147.40646647157</v>
      </c>
      <c r="J92" s="16">
        <f t="shared" si="42"/>
        <v>281807.5653936899</v>
      </c>
      <c r="K92" s="16">
        <f t="shared" si="42"/>
        <v>336689.7438768766</v>
      </c>
      <c r="L92" s="16">
        <f t="shared" si="42"/>
        <v>325888.33401859784</v>
      </c>
      <c r="M92" s="16">
        <f t="shared" si="42"/>
        <v>307545.89548725181</v>
      </c>
      <c r="N92" s="16">
        <f t="shared" si="42"/>
        <v>268262.71527149779</v>
      </c>
      <c r="O92" s="16">
        <f t="shared" si="42"/>
        <v>188879.74389060435</v>
      </c>
      <c r="P92" s="16">
        <f>SUM(D92:O92)</f>
        <v>2252902.6899571181</v>
      </c>
    </row>
    <row r="93" spans="1:16" x14ac:dyDescent="0.2">
      <c r="A93" s="8" t="s">
        <v>347</v>
      </c>
      <c r="B93" t="s">
        <v>348</v>
      </c>
      <c r="D93" s="16">
        <f>Drivers!D7*Assumptions!$H$8*(1+Assumptions!$H$9)</f>
        <v>22723.51787531891</v>
      </c>
      <c r="E93" s="16">
        <f>Drivers!E7*Assumptions!$H$8*(1+Assumptions!$H$9)</f>
        <v>12180.321534101169</v>
      </c>
      <c r="F93" s="16">
        <f>Drivers!F7*Assumptions!$H$8*(1+Assumptions!$H$9)</f>
        <v>15285.082173215629</v>
      </c>
      <c r="G93" s="16">
        <f>Drivers!G7*Assumptions!$H$8*(1+Assumptions!$H$9)</f>
        <v>15178.05916532483</v>
      </c>
      <c r="H93" s="16">
        <f>Drivers!H7*Assumptions!$H$8*(1+Assumptions!$H$9)</f>
        <v>11141.181997709909</v>
      </c>
      <c r="I93" s="16">
        <f>Drivers!I7*Assumptions!$H$8*(1+Assumptions!$H$9)</f>
        <v>20438.75609470213</v>
      </c>
      <c r="J93" s="16">
        <f>Drivers!J7*Assumptions!$H$8*(1+Assumptions!$H$9)</f>
        <v>28791.85946299665</v>
      </c>
      <c r="K93" s="16">
        <f>Drivers!K7*Assumptions!$H$8*(1+Assumptions!$H$9)</f>
        <v>36900.546421238221</v>
      </c>
      <c r="L93" s="16">
        <f>Drivers!L7*Assumptions!$H$8*(1+Assumptions!$H$9)</f>
        <v>51068.19479530555</v>
      </c>
      <c r="M93" s="16">
        <f>Drivers!M7*Assumptions!$H$8*(1+Assumptions!$H$9)</f>
        <v>38132.028724321754</v>
      </c>
      <c r="N93" s="16">
        <f>Drivers!N7*Assumptions!$H$8*(1+Assumptions!$H$9)</f>
        <v>34732.495072781567</v>
      </c>
      <c r="O93" s="16">
        <f>Drivers!O7*Assumptions!$H$8*(1+Assumptions!$H$9)</f>
        <v>28765.635535418729</v>
      </c>
      <c r="P93" s="16">
        <f>SUM(D93:O93)</f>
        <v>315337.67885243508</v>
      </c>
    </row>
    <row r="94" spans="1:16" x14ac:dyDescent="0.2">
      <c r="A94" s="8" t="s">
        <v>349</v>
      </c>
      <c r="B94" t="s">
        <v>350</v>
      </c>
      <c r="D94" s="16">
        <f t="shared" ref="D94:O94" si="43">D16+D17</f>
        <v>-105183.68246101495</v>
      </c>
      <c r="E94" s="16">
        <f t="shared" si="43"/>
        <v>-75081.231955458163</v>
      </c>
      <c r="F94" s="16">
        <f t="shared" si="43"/>
        <v>-66227.438685545247</v>
      </c>
      <c r="G94" s="16">
        <f t="shared" si="43"/>
        <v>-51768.172861297018</v>
      </c>
      <c r="H94" s="16">
        <f t="shared" si="43"/>
        <v>-47826.787484453809</v>
      </c>
      <c r="I94" s="16">
        <f t="shared" si="43"/>
        <v>-102033.64854143956</v>
      </c>
      <c r="J94" s="16">
        <f t="shared" si="43"/>
        <v>-219727.66164716583</v>
      </c>
      <c r="K94" s="16">
        <f t="shared" si="43"/>
        <v>-263976.0373422883</v>
      </c>
      <c r="L94" s="16">
        <f t="shared" si="43"/>
        <v>-264444.65188725875</v>
      </c>
      <c r="M94" s="16">
        <f t="shared" si="43"/>
        <v>-243702.76567490134</v>
      </c>
      <c r="N94" s="16">
        <f t="shared" si="43"/>
        <v>-213430.78902664001</v>
      </c>
      <c r="O94" s="16">
        <f t="shared" si="43"/>
        <v>-152783.18267690553</v>
      </c>
      <c r="P94" s="16">
        <f>SUM(D94:O94)</f>
        <v>-1806186.0502443688</v>
      </c>
    </row>
    <row r="95" spans="1:16" x14ac:dyDescent="0.2">
      <c r="A95" s="8" t="s">
        <v>351</v>
      </c>
      <c r="B95" t="s">
        <v>352</v>
      </c>
      <c r="D95" s="16">
        <f>Assumptions!$H$35*D92</f>
        <v>1915.1136014808851</v>
      </c>
      <c r="E95" s="16">
        <f>Assumptions!$H$35*E92</f>
        <v>1416.0125398059774</v>
      </c>
      <c r="F95" s="16">
        <f>Assumptions!$H$35*F92</f>
        <v>1193.9720740762366</v>
      </c>
      <c r="G95" s="16">
        <f>Assumptions!$H$35*G92</f>
        <v>894.13033829983794</v>
      </c>
      <c r="H95" s="16">
        <f>Assumptions!$H$35*H92</f>
        <v>860.99072961899049</v>
      </c>
      <c r="I95" s="16">
        <f>Assumptions!$H$35*I92</f>
        <v>1877.2110969970736</v>
      </c>
      <c r="J95" s="16">
        <f>Assumptions!$H$35*J92</f>
        <v>4227.1134809053483</v>
      </c>
      <c r="K95" s="16">
        <f>Assumptions!$H$35*K92</f>
        <v>5050.3461581531492</v>
      </c>
      <c r="L95" s="16">
        <f>Assumptions!$H$35*L92</f>
        <v>4888.3250102789671</v>
      </c>
      <c r="M95" s="16">
        <f>Assumptions!$H$35*M92</f>
        <v>4613.188432308777</v>
      </c>
      <c r="N95" s="16">
        <f>Assumptions!$H$35*N92</f>
        <v>4023.9407290724666</v>
      </c>
      <c r="O95" s="16">
        <f>Assumptions!$H$35*O92</f>
        <v>2833.1961583590651</v>
      </c>
      <c r="P95" s="16">
        <f>SUM(D95:O95)</f>
        <v>33793.540349356772</v>
      </c>
    </row>
    <row r="97" spans="1:16" x14ac:dyDescent="0.2">
      <c r="A97" s="15" t="s">
        <v>353</v>
      </c>
    </row>
    <row r="98" spans="1:16" x14ac:dyDescent="0.2">
      <c r="A98" s="8" t="s">
        <v>354</v>
      </c>
      <c r="B98" t="s">
        <v>355</v>
      </c>
      <c r="D98" s="16">
        <f>-Drivers!D19*Assumptions!$H$17*(E94+F94)/2</f>
        <v>359221.273131922</v>
      </c>
      <c r="E98" s="16">
        <f>-Drivers!E19*Assumptions!$H$17*(F94+G94)/2</f>
        <v>382137.91067152197</v>
      </c>
      <c r="F98" s="16">
        <f>-Drivers!F19*Assumptions!$H$17*(G94+H94)/2</f>
        <v>458205.20054701052</v>
      </c>
      <c r="G98" s="16">
        <f>-Drivers!G19*Assumptions!$H$17*(H94+I94)/2</f>
        <v>498659.88898991322</v>
      </c>
      <c r="H98" s="16">
        <f>-Drivers!H19*Assumptions!$H$17*(I94+J94)/2</f>
        <v>517223.9311824959</v>
      </c>
      <c r="I98" s="16">
        <f>-Drivers!I19*Assumptions!$H$17*(J94+K94)/2</f>
        <v>587764.91154616326</v>
      </c>
      <c r="J98" s="16">
        <f>-Drivers!J19*Assumptions!$H$17*(K94+L94)/2</f>
        <v>509805.86935659446</v>
      </c>
      <c r="K98" s="16">
        <f>-Drivers!K19*Assumptions!$H$17*(L94+M94)/2</f>
        <v>370357.18066953449</v>
      </c>
      <c r="L98" s="16">
        <f>-Drivers!L19*Assumptions!$H$17*(M94+N94)/2</f>
        <v>304372.84658575716</v>
      </c>
      <c r="M98" s="16">
        <f>-Drivers!M19*Assumptions!$H$17*(N94+O94)/2</f>
        <v>325730.40252115548</v>
      </c>
      <c r="N98" s="16">
        <f>-Drivers!N19*Assumptions!$H$17*(O94+D94)/2</f>
        <v>345507.63478622283</v>
      </c>
      <c r="O98" s="16">
        <f>-Drivers!O19*Assumptions!$H$17*(D94+E94)/2</f>
        <v>361375.19913748128</v>
      </c>
    </row>
    <row r="99" spans="1:16" x14ac:dyDescent="0.2">
      <c r="A99" s="8" t="s">
        <v>356</v>
      </c>
      <c r="B99" t="s">
        <v>357</v>
      </c>
      <c r="D99" s="16">
        <f t="shared" ref="D99:O99" si="44">MAX(0,D98-C43-D94-D18)</f>
        <v>122273.38637900853</v>
      </c>
      <c r="E99" s="16">
        <f t="shared" si="44"/>
        <v>98300.03323923079</v>
      </c>
      <c r="F99" s="16">
        <f t="shared" si="44"/>
        <v>142561.2602936519</v>
      </c>
      <c r="G99" s="16">
        <f t="shared" si="44"/>
        <v>92431.201851275808</v>
      </c>
      <c r="H99" s="16">
        <f t="shared" si="44"/>
        <v>66583.308154036204</v>
      </c>
      <c r="I99" s="16">
        <f t="shared" si="44"/>
        <v>172985.26240793988</v>
      </c>
      <c r="J99" s="16">
        <f t="shared" si="44"/>
        <v>142652.9114599046</v>
      </c>
      <c r="K99" s="16">
        <f t="shared" si="44"/>
        <v>125589.71784840463</v>
      </c>
      <c r="L99" s="16">
        <f t="shared" si="44"/>
        <v>199524.57293168834</v>
      </c>
      <c r="M99" s="16">
        <f t="shared" si="44"/>
        <v>266041.10120359738</v>
      </c>
      <c r="N99" s="16">
        <f t="shared" si="44"/>
        <v>234066.97158666613</v>
      </c>
      <c r="O99" s="16">
        <f t="shared" si="44"/>
        <v>169265.6215756629</v>
      </c>
      <c r="P99" s="16">
        <f>SUM(D99:O99)</f>
        <v>1832275.3489310672</v>
      </c>
    </row>
    <row r="101" spans="1:16" x14ac:dyDescent="0.2">
      <c r="A101" s="15" t="s">
        <v>358</v>
      </c>
    </row>
    <row r="102" spans="1:16" x14ac:dyDescent="0.2">
      <c r="A102" s="8" t="s">
        <v>359</v>
      </c>
      <c r="B102" t="s">
        <v>360</v>
      </c>
      <c r="C102" s="16">
        <f>Hist_Balances!$AJ$13</f>
        <v>7463.04</v>
      </c>
      <c r="D102" s="16">
        <f>C102+Drivers!D15-Drivers!D14</f>
        <v>4975.3600000000006</v>
      </c>
      <c r="E102" s="16">
        <f>D102+Drivers!E15-Drivers!E14</f>
        <v>2487.6800000000007</v>
      </c>
      <c r="F102" s="16">
        <f>E102+Drivers!F15-Drivers!F14</f>
        <v>0</v>
      </c>
      <c r="G102" s="16">
        <f>F102+Drivers!G15-Drivers!G14</f>
        <v>28459.0592</v>
      </c>
      <c r="H102" s="16">
        <f>G102+Drivers!H15-Drivers!H14</f>
        <v>25871.871999999999</v>
      </c>
      <c r="I102" s="16">
        <f>H102+Drivers!I15-Drivers!I14</f>
        <v>23284.684799999999</v>
      </c>
      <c r="J102" s="16">
        <f>I102+Drivers!J15-Drivers!J14</f>
        <v>20697.497599999999</v>
      </c>
      <c r="K102" s="16">
        <f>J102+Drivers!K15-Drivers!K14</f>
        <v>18110.310399999998</v>
      </c>
      <c r="L102" s="16">
        <f>K102+Drivers!L15-Drivers!L14</f>
        <v>15523.123199999998</v>
      </c>
      <c r="M102" s="16">
        <f>L102+Drivers!M15-Drivers!M14</f>
        <v>12935.935999999998</v>
      </c>
      <c r="N102" s="16">
        <f>M102+Drivers!N15-Drivers!N14</f>
        <v>10348.748799999998</v>
      </c>
      <c r="O102" s="16">
        <f>N102+Drivers!O15-Drivers!O14</f>
        <v>7761.5615999999973</v>
      </c>
    </row>
    <row r="103" spans="1:16" x14ac:dyDescent="0.2">
      <c r="A103" s="8" t="s">
        <v>361</v>
      </c>
      <c r="B103" t="s">
        <v>362</v>
      </c>
      <c r="C103" s="16">
        <f>Hist_Balances!$AJ$14</f>
        <v>19329.82</v>
      </c>
      <c r="D103" s="16">
        <f>Assumptions!$H$41*D99</f>
        <v>19130.823892476175</v>
      </c>
      <c r="E103" s="16">
        <f>Assumptions!$H$41*E99</f>
        <v>15379.966812198525</v>
      </c>
      <c r="F103" s="16">
        <f>Assumptions!$H$41*F99</f>
        <v>22305.053007311872</v>
      </c>
      <c r="G103" s="16">
        <f>Assumptions!$H$41*G99</f>
        <v>14461.732819810479</v>
      </c>
      <c r="H103" s="16">
        <f>Assumptions!$H$41*H99</f>
        <v>10417.586199215792</v>
      </c>
      <c r="I103" s="16">
        <f>Assumptions!$H$41*I99</f>
        <v>27065.174925818646</v>
      </c>
      <c r="J103" s="16">
        <f>Assumptions!$H$41*J99</f>
        <v>22319.392696209386</v>
      </c>
      <c r="K103" s="16">
        <f>Assumptions!$H$41*K99</f>
        <v>19649.695211811657</v>
      </c>
      <c r="L103" s="16">
        <f>Assumptions!$H$41*L99</f>
        <v>31217.500226467509</v>
      </c>
      <c r="M103" s="16">
        <f>Assumptions!$H$41*M99</f>
        <v>41624.638083633014</v>
      </c>
      <c r="N103" s="16">
        <f>Assumptions!$H$41*N99</f>
        <v>36621.9841052712</v>
      </c>
      <c r="O103" s="16">
        <f>Assumptions!$H$41*O99</f>
        <v>26483.202054919479</v>
      </c>
    </row>
    <row r="104" spans="1:16" x14ac:dyDescent="0.2">
      <c r="A104" s="8" t="s">
        <v>363</v>
      </c>
      <c r="B104" t="s">
        <v>364</v>
      </c>
      <c r="C104" s="16">
        <f>-(Hist_Balances!$AJ$15+Hist_Balances!$AJ$23)</f>
        <v>11736.86</v>
      </c>
      <c r="D104" s="16">
        <f>C104+Assumptions!$H$45*(D15-(D99-D19+Drivers!D11+Drivers!D12+Drivers!D13+Drivers!D16-D28-D30+Drivers!D17))-D105</f>
        <v>1310.4337517065105</v>
      </c>
      <c r="E104" s="16">
        <f>D104+Assumptions!$H$45*(E15-(E99-E19+Drivers!E11+Drivers!E12+Drivers!E13+Drivers!E16-E28-E30+Drivers!E17))-E105</f>
        <v>922.89483418672535</v>
      </c>
      <c r="F104" s="16">
        <f>E104+Assumptions!$H$45*(F15-(F99-F19+Drivers!F11+Drivers!F12+Drivers!F13+Drivers!F16-F28-F30+Drivers!F17))-F105</f>
        <v>-2593.7451097839948</v>
      </c>
      <c r="G104" s="16">
        <f>F104+Assumptions!$H$45*(G15-(G99-G19+Drivers!G11+Drivers!G12+Drivers!G13+Drivers!G16-G28-G30+Drivers!G17))-G105</f>
        <v>-1717.237177886429</v>
      </c>
      <c r="H104" s="16">
        <f>G104+Assumptions!$H$45*(H15-(H99-H19+Drivers!H11+Drivers!H12+Drivers!H13+Drivers!H16-H28-H30+Drivers!H17))-H105</f>
        <v>-1859.0928817083229</v>
      </c>
      <c r="I104" s="16">
        <f>H104+Assumptions!$H$45*(I15-(I99-I19+Drivers!I11+Drivers!I12+Drivers!I13+Drivers!I16-I28-I30+Drivers!I17))-I105</f>
        <v>-3623.1069867790329</v>
      </c>
      <c r="J104" s="16">
        <f>I104+Assumptions!$H$45*(J15-(J99-J19+Drivers!J11+Drivers!J12+Drivers!J13+Drivers!J16-J28-J30+Drivers!J17))-J105</f>
        <v>9399.986364394621</v>
      </c>
      <c r="K104" s="16">
        <f>J104+Assumptions!$H$45*(K15-(K99-K19+Drivers!K11+Drivers!K12+Drivers!K13+Drivers!K16-K28-K30+Drivers!K17))-K105</f>
        <v>23046.133190914439</v>
      </c>
      <c r="L104" s="16">
        <f>K104+Assumptions!$H$45*(L15-(L99-L19+Drivers!L11+Drivers!L12+Drivers!L13+Drivers!L16-L28-L30+Drivers!L17))-L105</f>
        <v>33148.687907962041</v>
      </c>
      <c r="M104" s="16">
        <f>L104+Assumptions!$H$45*(M15-(M99-M19+Drivers!M11+Drivers!M12+Drivers!M13+Drivers!M16-M28-M30+Drivers!M17))-M105</f>
        <v>4621.9801981316486</v>
      </c>
      <c r="N104" s="16">
        <f>M104+Assumptions!$H$45*(N15-(N99-N19+Drivers!N11+Drivers!N12+Drivers!N13+Drivers!N16-N28-N30+Drivers!N17))-N105</f>
        <v>8295.3406316061864</v>
      </c>
      <c r="O104" s="16">
        <f>N104+Assumptions!$H$45*(O15-(O99-O19+Drivers!O11+Drivers!O12+Drivers!O13+Drivers!O16-O28-O30+Drivers!O17))-O105</f>
        <v>10878.959551487755</v>
      </c>
    </row>
    <row r="105" spans="1:16" x14ac:dyDescent="0.2">
      <c r="A105" s="8" t="s">
        <v>365</v>
      </c>
      <c r="B105" t="s">
        <v>366</v>
      </c>
      <c r="D105" s="16">
        <f>IF(Drivers!D23,C104,0)</f>
        <v>11736.86</v>
      </c>
      <c r="E105" s="16">
        <f>IF(Drivers!E23,D104,0)</f>
        <v>0</v>
      </c>
      <c r="F105" s="16">
        <f>IF(Drivers!F23,E104,0)</f>
        <v>0</v>
      </c>
      <c r="G105" s="16">
        <f>IF(Drivers!G23,F104,0)</f>
        <v>-2593.7451097839948</v>
      </c>
      <c r="H105" s="16">
        <f>IF(Drivers!H23,G104,0)</f>
        <v>0</v>
      </c>
      <c r="I105" s="16">
        <f>IF(Drivers!I23,H104,0)</f>
        <v>0</v>
      </c>
      <c r="J105" s="16">
        <f>IF(Drivers!J23,I104,0)</f>
        <v>-3623.1069867790329</v>
      </c>
      <c r="K105" s="16">
        <f>IF(Drivers!K23,J104,0)</f>
        <v>0</v>
      </c>
      <c r="L105" s="16">
        <f>IF(Drivers!L23,K104,0)</f>
        <v>0</v>
      </c>
      <c r="M105" s="16">
        <f>IF(Drivers!M23,L104,0)</f>
        <v>33148.687907962041</v>
      </c>
      <c r="N105" s="16">
        <f>IF(Drivers!N23,M104,0)</f>
        <v>0</v>
      </c>
      <c r="O105" s="16">
        <f>IF(Drivers!O23,N104,0)</f>
        <v>0</v>
      </c>
      <c r="P105" s="16">
        <f>SUM(D105:O105)</f>
        <v>38668.695811399011</v>
      </c>
    </row>
    <row r="106" spans="1:16" x14ac:dyDescent="0.2">
      <c r="A106" s="8" t="s">
        <v>367</v>
      </c>
      <c r="B106" t="s">
        <v>368</v>
      </c>
      <c r="C106" s="16">
        <f>-Hist_Balances!$AJ$20</f>
        <v>157952.65</v>
      </c>
      <c r="D106" s="16">
        <f>(Assumptions!$H$42+Assumptions!$H$15)/30.4*(D99-D19)*(1+Assumptions!$H$45)</f>
        <v>112446.5153828508</v>
      </c>
      <c r="E106" s="16">
        <f>(Assumptions!$H$42+Assumptions!$H$15)/30.4*(E99-E19)*(1+Assumptions!$H$45)</f>
        <v>88472.747616644847</v>
      </c>
      <c r="F106" s="16">
        <f>(Assumptions!$H$42+Assumptions!$H$15)/30.4*(F99-F19)*(1+Assumptions!$H$45)</f>
        <v>125039.99932939163</v>
      </c>
      <c r="G106" s="16">
        <f>(Assumptions!$H$42+Assumptions!$H$15)/30.4*(G99-G19)*(1+Assumptions!$H$45)</f>
        <v>85189.84101296372</v>
      </c>
      <c r="H106" s="16">
        <f>(Assumptions!$H$42+Assumptions!$H$15)/30.4*(H99-H19)*(1+Assumptions!$H$45)</f>
        <v>64601.343200932439</v>
      </c>
      <c r="I106" s="16">
        <f>(Assumptions!$H$42+Assumptions!$H$15)/30.4*(I99-I19)*(1+Assumptions!$H$45)</f>
        <v>158195.41268197205</v>
      </c>
      <c r="J106" s="16">
        <f>(Assumptions!$H$42+Assumptions!$H$15)/30.4*(J99-J19)*(1+Assumptions!$H$45)</f>
        <v>136355.94959607843</v>
      </c>
      <c r="K106" s="16">
        <f>(Assumptions!$H$42+Assumptions!$H$15)/30.4*(K99-K19)*(1+Assumptions!$H$45)</f>
        <v>123045.91024920251</v>
      </c>
      <c r="L106" s="16">
        <f>(Assumptions!$H$42+Assumptions!$H$15)/30.4*(L99-L19)*(1+Assumptions!$H$45)</f>
        <v>186001.72275154764</v>
      </c>
      <c r="M106" s="16">
        <f>(Assumptions!$H$42+Assumptions!$H$15)/30.4*(M99-M19)*(1+Assumptions!$H$45)</f>
        <v>239833.66781686779</v>
      </c>
      <c r="N106" s="16">
        <f>(Assumptions!$H$42+Assumptions!$H$15)/30.4*(N99-N19)*(1+Assumptions!$H$45)</f>
        <v>210287.67861140263</v>
      </c>
      <c r="O106" s="16">
        <f>(Assumptions!$H$42+Assumptions!$H$15)/30.4*(O99-O19)*(1+Assumptions!$H$45)</f>
        <v>154525.37063058361</v>
      </c>
    </row>
    <row r="107" spans="1:16" x14ac:dyDescent="0.2">
      <c r="A107" s="8" t="s">
        <v>369</v>
      </c>
      <c r="B107" t="s">
        <v>370</v>
      </c>
      <c r="C107" s="16">
        <f>-Hist_Balances!$AJ$21</f>
        <v>27972.25</v>
      </c>
      <c r="D107" s="16">
        <f>Assumptions!$H$43*((Drivers!D12+Drivers!D13+Drivers!D16-D28-D30)*(1+Assumptions!$H$45)-D29)</f>
        <v>23708.085610372786</v>
      </c>
      <c r="E107" s="16">
        <f>Assumptions!$H$43*((Drivers!E12+Drivers!E13+Drivers!E16-E28-E30)*(1+Assumptions!$H$45)-E29)</f>
        <v>21149.107295258982</v>
      </c>
      <c r="F107" s="16">
        <f>Assumptions!$H$43*((Drivers!F12+Drivers!F13+Drivers!F16-F28-F30)*(1+Assumptions!$H$45)-F29)</f>
        <v>23641.809084537268</v>
      </c>
      <c r="G107" s="16">
        <f>Assumptions!$H$43*((Drivers!G12+Drivers!G13+Drivers!G16-G28-G30)*(1+Assumptions!$H$45)-G29)</f>
        <v>21904.579663480712</v>
      </c>
      <c r="H107" s="16">
        <f>Assumptions!$H$43*((Drivers!H12+Drivers!H13+Drivers!H16-H28-H30)*(1+Assumptions!$H$45)-H29)</f>
        <v>21503.852286113928</v>
      </c>
      <c r="I107" s="16">
        <f>Assumptions!$H$43*((Drivers!I12+Drivers!I13+Drivers!I16-I28-I30)*(1+Assumptions!$H$45)-I29)</f>
        <v>29171.612426819767</v>
      </c>
      <c r="J107" s="16">
        <f>Assumptions!$H$43*((Drivers!J12+Drivers!J13+Drivers!J16-J28-J30)*(1+Assumptions!$H$45)-J29)</f>
        <v>33151.708430823754</v>
      </c>
      <c r="K107" s="16">
        <f>Assumptions!$H$43*((Drivers!K12+Drivers!K13+Drivers!K16-K28-K30)*(1+Assumptions!$H$45)-K29)</f>
        <v>34474.67265529235</v>
      </c>
      <c r="L107" s="16">
        <f>Assumptions!$H$43*((Drivers!L12+Drivers!L13+Drivers!L16-L28-L30)*(1+Assumptions!$H$45)-L29)</f>
        <v>36245.793424346244</v>
      </c>
      <c r="M107" s="16">
        <f>Assumptions!$H$43*((Drivers!M12+Drivers!M13+Drivers!M16-M28-M30)*(1+Assumptions!$H$45)-M29)</f>
        <v>36615.088593469794</v>
      </c>
      <c r="N107" s="16">
        <f>Assumptions!$H$43*((Drivers!N12+Drivers!N13+Drivers!N16-N28-N30)*(1+Assumptions!$H$45)-N29)</f>
        <v>33378.588785454667</v>
      </c>
      <c r="O107" s="16">
        <f>Assumptions!$H$43*((Drivers!O12+Drivers!O13+Drivers!O16-O28-O30)*(1+Assumptions!$H$45)-O29)</f>
        <v>29138.50939738415</v>
      </c>
    </row>
    <row r="108" spans="1:16" x14ac:dyDescent="0.2">
      <c r="A108" s="8" t="s">
        <v>371</v>
      </c>
      <c r="B108" t="s">
        <v>372</v>
      </c>
      <c r="C108" s="16">
        <f>-Hist_Balances!$AJ$22</f>
        <v>28360.02</v>
      </c>
      <c r="D108" s="16">
        <f>Assumptions!$H$44*(Drivers!D9+D95+Drivers!D10)</f>
        <v>20445.672161240444</v>
      </c>
      <c r="E108" s="16">
        <f>Assumptions!$H$44*(Drivers!E9+E95+Drivers!E10)</f>
        <v>18998.748046652989</v>
      </c>
      <c r="F108" s="16">
        <f>Assumptions!$H$44*(Drivers!F9+F95+Drivers!F10)</f>
        <v>18887.727813788119</v>
      </c>
      <c r="G108" s="16">
        <f>Assumptions!$H$44*(Drivers!G9+G95+Drivers!G10)</f>
        <v>19935.178855899918</v>
      </c>
      <c r="H108" s="16">
        <f>Assumptions!$H$44*(Drivers!H9+H95+Drivers!H10)</f>
        <v>18122.547658809497</v>
      </c>
      <c r="I108" s="16">
        <f>Assumptions!$H$44*(Drivers!I9+I95+Drivers!I10)</f>
        <v>20426.722402498537</v>
      </c>
      <c r="J108" s="16">
        <f>Assumptions!$H$44*(Drivers!J9+J95+Drivers!J10)</f>
        <v>30015.643401202677</v>
      </c>
      <c r="K108" s="16">
        <f>Assumptions!$H$44*(Drivers!K9+K95+Drivers!K10)</f>
        <v>30427.259739826575</v>
      </c>
      <c r="L108" s="16">
        <f>Assumptions!$H$44*(Drivers!L9+L95+Drivers!L10)</f>
        <v>31305.441069139488</v>
      </c>
      <c r="M108" s="16">
        <f>Assumptions!$H$44*(Drivers!M9+M95+Drivers!M10)</f>
        <v>31167.872754404387</v>
      </c>
      <c r="N108" s="16">
        <f>Assumptions!$H$44*(Drivers!N9+N95+Drivers!N10)</f>
        <v>30873.252739536234</v>
      </c>
      <c r="O108" s="16">
        <f>Assumptions!$H$44*(Drivers!O9+O95+Drivers!O10)</f>
        <v>29318.684405179534</v>
      </c>
    </row>
    <row r="109" spans="1:16" x14ac:dyDescent="0.2">
      <c r="A109" s="8" t="s">
        <v>373</v>
      </c>
      <c r="B109" t="s">
        <v>374</v>
      </c>
      <c r="C109" s="16">
        <f>-Hist_Balances!$AJ$25</f>
        <v>1950</v>
      </c>
      <c r="D109" s="16">
        <f>C109+Assumptions!$H$59-IF(Drivers!D23,C109,0)</f>
        <v>650</v>
      </c>
      <c r="E109" s="16">
        <f>D109+Assumptions!$H$59-IF(Drivers!E23,D109,0)</f>
        <v>1300</v>
      </c>
      <c r="F109" s="16">
        <f>E109+Assumptions!$H$59-IF(Drivers!F23,E109,0)</f>
        <v>1950</v>
      </c>
      <c r="G109" s="16">
        <f>F109+Assumptions!$H$59-IF(Drivers!G23,F109,0)</f>
        <v>650</v>
      </c>
      <c r="H109" s="16">
        <f>G109+Assumptions!$H$59-IF(Drivers!H23,G109,0)</f>
        <v>1300</v>
      </c>
      <c r="I109" s="16">
        <f>H109+Assumptions!$H$59-IF(Drivers!I23,H109,0)</f>
        <v>1950</v>
      </c>
      <c r="J109" s="16">
        <f>I109+Assumptions!$H$59-IF(Drivers!J23,I109,0)</f>
        <v>650</v>
      </c>
      <c r="K109" s="16">
        <f>J109+Assumptions!$H$59-IF(Drivers!K23,J109,0)</f>
        <v>1300</v>
      </c>
      <c r="L109" s="16">
        <f>K109+Assumptions!$H$59-IF(Drivers!L23,K109,0)</f>
        <v>1950</v>
      </c>
      <c r="M109" s="16">
        <f>L109+Assumptions!$H$59-IF(Drivers!M23,L109,0)</f>
        <v>650</v>
      </c>
      <c r="N109" s="16">
        <f>M109+Assumptions!$H$59-IF(Drivers!N23,M109,0)</f>
        <v>1300</v>
      </c>
      <c r="O109" s="16">
        <f>N109+Assumptions!$H$59-IF(Drivers!O23,N109,0)</f>
        <v>1950</v>
      </c>
    </row>
    <row r="111" spans="1:16" x14ac:dyDescent="0.2">
      <c r="A111" s="15" t="s">
        <v>375</v>
      </c>
    </row>
    <row r="112" spans="1:16" x14ac:dyDescent="0.2">
      <c r="A112" s="8" t="s">
        <v>376</v>
      </c>
      <c r="B112" t="s">
        <v>377</v>
      </c>
      <c r="D112" s="16">
        <f t="shared" ref="D112:O112" si="45">C41+D74+D75+D76</f>
        <v>272095.28116574965</v>
      </c>
      <c r="E112" s="16">
        <f t="shared" si="45"/>
        <v>201231.49278878863</v>
      </c>
      <c r="F112" s="16">
        <f t="shared" si="45"/>
        <v>116355.99422890464</v>
      </c>
      <c r="G112" s="16">
        <f t="shared" si="45"/>
        <v>-30364.355850556574</v>
      </c>
      <c r="H112" s="16">
        <f t="shared" si="45"/>
        <v>34431.919512019937</v>
      </c>
      <c r="I112" s="16">
        <f t="shared" si="45"/>
        <v>90243.946068440549</v>
      </c>
      <c r="J112" s="16">
        <f t="shared" si="45"/>
        <v>195222.88103852779</v>
      </c>
      <c r="K112" s="16">
        <f t="shared" si="45"/>
        <v>296462.23873881163</v>
      </c>
      <c r="L112" s="16">
        <f t="shared" si="45"/>
        <v>383546.13393830962</v>
      </c>
      <c r="M112" s="16">
        <f t="shared" si="45"/>
        <v>418697.49790858675</v>
      </c>
      <c r="N112" s="16">
        <f t="shared" si="45"/>
        <v>399891.69517608819</v>
      </c>
      <c r="O112" s="16">
        <f t="shared" si="45"/>
        <v>341845.25267132861</v>
      </c>
    </row>
    <row r="113" spans="1:16" x14ac:dyDescent="0.2">
      <c r="A113" s="8" t="s">
        <v>378</v>
      </c>
      <c r="B113" t="s">
        <v>379</v>
      </c>
      <c r="C113" s="16">
        <f>-Hist_Balances!$AJ$27</f>
        <v>112499.89</v>
      </c>
      <c r="D113" s="16">
        <f t="shared" ref="D113:O113" si="46">C113+D76</f>
        <v>108333.22</v>
      </c>
      <c r="E113" s="16">
        <f t="shared" si="46"/>
        <v>104166.55</v>
      </c>
      <c r="F113" s="16">
        <f t="shared" si="46"/>
        <v>99999.88</v>
      </c>
      <c r="G113" s="16">
        <f t="shared" si="46"/>
        <v>95833.21</v>
      </c>
      <c r="H113" s="16">
        <f t="shared" si="46"/>
        <v>91666.540000000008</v>
      </c>
      <c r="I113" s="16">
        <f t="shared" si="46"/>
        <v>87499.87000000001</v>
      </c>
      <c r="J113" s="16">
        <f t="shared" si="46"/>
        <v>83333.200000000012</v>
      </c>
      <c r="K113" s="16">
        <f t="shared" si="46"/>
        <v>79166.530000000013</v>
      </c>
      <c r="L113" s="16">
        <f t="shared" si="46"/>
        <v>74999.860000000015</v>
      </c>
      <c r="M113" s="16">
        <f t="shared" si="46"/>
        <v>70833.190000000017</v>
      </c>
      <c r="N113" s="16">
        <f t="shared" si="46"/>
        <v>66666.520000000019</v>
      </c>
      <c r="O113" s="16">
        <f t="shared" si="46"/>
        <v>62499.85000000002</v>
      </c>
    </row>
    <row r="115" spans="1:16" x14ac:dyDescent="0.2">
      <c r="A115" s="15" t="s">
        <v>380</v>
      </c>
    </row>
    <row r="116" spans="1:16" x14ac:dyDescent="0.2">
      <c r="A116" s="8" t="s">
        <v>381</v>
      </c>
      <c r="B116" t="s">
        <v>382</v>
      </c>
      <c r="C116" s="16">
        <f>SUM(Hist_IS!$AA$34:$AI$34)</f>
        <v>87122.97</v>
      </c>
      <c r="D116" s="16">
        <f>IF(Drivers!D20,0,C116)+D36</f>
        <v>77683.340264408893</v>
      </c>
      <c r="E116" s="16">
        <f>IF(Drivers!E20,0,D116)+E36</f>
        <v>45328.440907195472</v>
      </c>
      <c r="F116" s="16">
        <f>IF(Drivers!F20,0,E116)+F36</f>
        <v>4121.1302245871921</v>
      </c>
      <c r="G116" s="16">
        <f>IF(Drivers!G20,0,F116)+G36</f>
        <v>-36883.829294574207</v>
      </c>
      <c r="H116" s="16">
        <f>IF(Drivers!H20,0,G116)+H36</f>
        <v>-67213.316054467723</v>
      </c>
      <c r="I116" s="16">
        <f>IF(Drivers!I20,0,H116)+I36</f>
        <v>-72797.877673108553</v>
      </c>
      <c r="J116" s="16">
        <f>IF(Drivers!J20,0,I116)+J36</f>
        <v>-38660.713506886452</v>
      </c>
      <c r="K116" s="16">
        <f>IF(Drivers!K20,0,J116)+K36</f>
        <v>17162.618895722349</v>
      </c>
      <c r="L116" s="16">
        <f>IF(Drivers!L20,0,K116)+L36</f>
        <v>74208.58919983478</v>
      </c>
      <c r="M116" s="16">
        <f>IF(Drivers!M20,0,L116)+M36</f>
        <v>110178.08792411402</v>
      </c>
      <c r="N116" s="16">
        <f>IF(Drivers!N20,0,M116)+N36</f>
        <v>127321.10846737097</v>
      </c>
      <c r="O116" s="16">
        <f>IF(Drivers!O20,0,N116)+O36</f>
        <v>123685.03245703991</v>
      </c>
    </row>
    <row r="117" spans="1:16" x14ac:dyDescent="0.2">
      <c r="A117" s="8" t="s">
        <v>383</v>
      </c>
      <c r="B117" t="s">
        <v>384</v>
      </c>
      <c r="C117" s="11">
        <v>98211.569999999992</v>
      </c>
      <c r="D117" s="16">
        <f>IF(Drivers!D20,MAX(0,C117-C116),C117)</f>
        <v>98211.569999999992</v>
      </c>
      <c r="E117" s="16">
        <f>IF(Drivers!E20,MAX(0,D117-D116),D117)</f>
        <v>98211.569999999992</v>
      </c>
      <c r="F117" s="16">
        <f>IF(Drivers!F20,MAX(0,E117-E116),E117)</f>
        <v>98211.569999999992</v>
      </c>
      <c r="G117" s="16">
        <f>IF(Drivers!G20,MAX(0,F117-F116),F117)</f>
        <v>94090.4397754128</v>
      </c>
      <c r="H117" s="16">
        <f>IF(Drivers!H20,MAX(0,G117-G116),G117)</f>
        <v>94090.4397754128</v>
      </c>
      <c r="I117" s="16">
        <f>IF(Drivers!I20,MAX(0,H117-H116),H117)</f>
        <v>94090.4397754128</v>
      </c>
      <c r="J117" s="16">
        <f>IF(Drivers!J20,MAX(0,I117-I116),I117)</f>
        <v>94090.4397754128</v>
      </c>
      <c r="K117" s="16">
        <f>IF(Drivers!K20,MAX(0,J117-J116),J117)</f>
        <v>94090.4397754128</v>
      </c>
      <c r="L117" s="16">
        <f>IF(Drivers!L20,MAX(0,K117-K116),K117)</f>
        <v>94090.4397754128</v>
      </c>
      <c r="M117" s="16">
        <f>IF(Drivers!M20,MAX(0,L117-L116),L117)</f>
        <v>94090.4397754128</v>
      </c>
      <c r="N117" s="16">
        <f>IF(Drivers!N20,MAX(0,M117-M116),M117)</f>
        <v>94090.4397754128</v>
      </c>
      <c r="O117" s="16">
        <f>IF(Drivers!O20,MAX(0,N117-N116),N117)</f>
        <v>94090.4397754128</v>
      </c>
    </row>
    <row r="118" spans="1:16" x14ac:dyDescent="0.2">
      <c r="A118" s="8" t="s">
        <v>385</v>
      </c>
      <c r="B118" t="s">
        <v>386</v>
      </c>
      <c r="C118" s="16">
        <f>-SUM(Hist_IS!$AA$35:$AI$35)</f>
        <v>0</v>
      </c>
      <c r="D118" s="16">
        <f>Assumptions!$H$46*MAX(0,D116-D117)</f>
        <v>0</v>
      </c>
      <c r="E118" s="16">
        <f>Assumptions!$H$46*MAX(0,E116-E117)</f>
        <v>0</v>
      </c>
      <c r="F118" s="16">
        <f>Assumptions!$H$46*MAX(0,F116-F117)</f>
        <v>0</v>
      </c>
      <c r="G118" s="16">
        <f>Assumptions!$H$46*MAX(0,G116-G117)</f>
        <v>0</v>
      </c>
      <c r="H118" s="16">
        <f>Assumptions!$H$46*MAX(0,H116-H117)</f>
        <v>0</v>
      </c>
      <c r="I118" s="16">
        <f>Assumptions!$H$46*MAX(0,I116-I117)</f>
        <v>0</v>
      </c>
      <c r="J118" s="16">
        <f>Assumptions!$H$46*MAX(0,J116-J117)</f>
        <v>0</v>
      </c>
      <c r="K118" s="16">
        <f>Assumptions!$H$46*MAX(0,K116-K117)</f>
        <v>0</v>
      </c>
      <c r="L118" s="16">
        <f>Assumptions!$H$46*MAX(0,L116-L117)</f>
        <v>0</v>
      </c>
      <c r="M118" s="16">
        <f>Assumptions!$H$46*MAX(0,M116-M117)</f>
        <v>3700.1590742012809</v>
      </c>
      <c r="N118" s="16">
        <f>Assumptions!$H$46*MAX(0,N116-N117)</f>
        <v>7643.0537991503797</v>
      </c>
      <c r="O118" s="16">
        <f>Assumptions!$H$46*MAX(0,O116-O117)</f>
        <v>6806.7563167742355</v>
      </c>
    </row>
    <row r="119" spans="1:16" x14ac:dyDescent="0.2">
      <c r="A119" s="8" t="s">
        <v>387</v>
      </c>
      <c r="B119" t="s">
        <v>388</v>
      </c>
      <c r="C119" s="11">
        <v>0</v>
      </c>
      <c r="D119" s="16">
        <f>IF(Drivers!D20,C118,IF(Drivers!D21,0,C119))</f>
        <v>0</v>
      </c>
      <c r="E119" s="16">
        <f>IF(Drivers!E20,D118,IF(Drivers!E21,0,D119))</f>
        <v>0</v>
      </c>
      <c r="F119" s="16">
        <f>IF(Drivers!F20,E118,IF(Drivers!F21,0,E119))</f>
        <v>0</v>
      </c>
      <c r="G119" s="16">
        <f>IF(Drivers!G20,F118,IF(Drivers!G21,0,F119))</f>
        <v>0</v>
      </c>
      <c r="H119" s="16">
        <f>IF(Drivers!H20,G118,IF(Drivers!H21,0,G119))</f>
        <v>0</v>
      </c>
      <c r="I119" s="16">
        <f>IF(Drivers!I20,H118,IF(Drivers!I21,0,H119))</f>
        <v>0</v>
      </c>
      <c r="J119" s="16">
        <f>IF(Drivers!J20,I118,IF(Drivers!J21,0,I119))</f>
        <v>0</v>
      </c>
      <c r="K119" s="16">
        <f>IF(Drivers!K20,J118,IF(Drivers!K21,0,J119))</f>
        <v>0</v>
      </c>
      <c r="L119" s="16">
        <f>IF(Drivers!L20,K118,IF(Drivers!L21,0,K119))</f>
        <v>0</v>
      </c>
      <c r="M119" s="16">
        <f>IF(Drivers!M20,L118,IF(Drivers!M21,0,L119))</f>
        <v>0</v>
      </c>
      <c r="N119" s="16">
        <f>IF(Drivers!N20,M118,IF(Drivers!N21,0,M119))</f>
        <v>0</v>
      </c>
      <c r="O119" s="16">
        <f>IF(Drivers!O20,N118,IF(Drivers!O21,0,N119))</f>
        <v>0</v>
      </c>
    </row>
    <row r="120" spans="1:16" x14ac:dyDescent="0.2">
      <c r="A120" s="8" t="s">
        <v>389</v>
      </c>
      <c r="B120" t="s">
        <v>390</v>
      </c>
      <c r="D120" s="16">
        <f>IF(Drivers!D21,C119,0)</f>
        <v>0</v>
      </c>
      <c r="E120" s="16">
        <f>IF(Drivers!E21,D119,0)</f>
        <v>0</v>
      </c>
      <c r="F120" s="16">
        <f>IF(Drivers!F21,E119,0)</f>
        <v>0</v>
      </c>
      <c r="G120" s="16">
        <f>IF(Drivers!G21,F119,0)</f>
        <v>0</v>
      </c>
      <c r="H120" s="16">
        <f>IF(Drivers!H21,G119,0)</f>
        <v>0</v>
      </c>
      <c r="I120" s="16">
        <f>IF(Drivers!I21,H119,0)</f>
        <v>0</v>
      </c>
      <c r="J120" s="16">
        <f>IF(Drivers!J21,I119,0)</f>
        <v>0</v>
      </c>
      <c r="K120" s="16">
        <f>IF(Drivers!K21,J119,0)</f>
        <v>0</v>
      </c>
      <c r="L120" s="16">
        <f>IF(Drivers!L21,K119,0)</f>
        <v>0</v>
      </c>
      <c r="M120" s="16">
        <f>IF(Drivers!M21,L119,0)</f>
        <v>0</v>
      </c>
      <c r="N120" s="16">
        <f>IF(Drivers!N21,M119,0)</f>
        <v>0</v>
      </c>
      <c r="O120" s="16">
        <f>IF(Drivers!O21,N119,0)</f>
        <v>0</v>
      </c>
      <c r="P120" s="16">
        <f>SUM(D120:O120)</f>
        <v>0</v>
      </c>
    </row>
    <row r="121" spans="1:16" x14ac:dyDescent="0.2">
      <c r="A121" s="8" t="s">
        <v>391</v>
      </c>
      <c r="B121" t="s">
        <v>392</v>
      </c>
      <c r="C121" s="11">
        <v>0</v>
      </c>
      <c r="D121" s="16">
        <f>C121+Drivers!D17</f>
        <v>0</v>
      </c>
      <c r="E121" s="16">
        <f>D121+Drivers!E17</f>
        <v>0</v>
      </c>
      <c r="F121" s="16">
        <f>E121+Drivers!F17</f>
        <v>0</v>
      </c>
      <c r="G121" s="16">
        <f>F121+Drivers!G17</f>
        <v>6000</v>
      </c>
      <c r="H121" s="16">
        <f>G121+Drivers!H17</f>
        <v>6000</v>
      </c>
      <c r="I121" s="16">
        <f>H121+Drivers!I17</f>
        <v>18000</v>
      </c>
      <c r="J121" s="16">
        <f>I121+Drivers!J17</f>
        <v>18000</v>
      </c>
      <c r="K121" s="16">
        <f>J121+Drivers!K17</f>
        <v>18000</v>
      </c>
      <c r="L121" s="16">
        <f>K121+Drivers!L17</f>
        <v>18000</v>
      </c>
      <c r="M121" s="16">
        <f>L121+Drivers!M17</f>
        <v>18000</v>
      </c>
      <c r="N121" s="16">
        <f>M121+Drivers!N17</f>
        <v>18000</v>
      </c>
      <c r="O121" s="16">
        <f>N121+Drivers!O17</f>
        <v>18000</v>
      </c>
    </row>
  </sheetData>
  <mergeCells count="1">
    <mergeCell ref="A1:P1"/>
  </mergeCells>
  <conditionalFormatting sqref="D85:O86">
    <cfRule type="cellIs" dxfId="0" priority="1" operator="notBetween">
      <formula>-0.01</formula>
      <formula>0.01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1"/>
  <sheetViews>
    <sheetView showGridLines="0" workbookViewId="0">
      <pane xSplit="1" ySplit="29" topLeftCell="B30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0" customWidth="1"/>
    <col min="2" max="11" width="13" customWidth="1"/>
  </cols>
  <sheetData>
    <row r="1" spans="1:12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9" customHeight="1" x14ac:dyDescent="0.25">
      <c r="A2" s="1" t="s">
        <v>393</v>
      </c>
    </row>
    <row r="3" spans="1:12" x14ac:dyDescent="0.2">
      <c r="A3" s="2" t="s">
        <v>394</v>
      </c>
    </row>
    <row r="5" spans="1:12" ht="16" customHeight="1" x14ac:dyDescent="0.2">
      <c r="A5" s="6"/>
      <c r="B5" s="7" t="s">
        <v>31</v>
      </c>
      <c r="C5" s="7" t="s">
        <v>27</v>
      </c>
      <c r="D5" s="7" t="s">
        <v>32</v>
      </c>
    </row>
    <row r="6" spans="1:12" x14ac:dyDescent="0.2">
      <c r="A6" t="s">
        <v>395</v>
      </c>
      <c r="B6" s="16">
        <v>3026573.2711188369</v>
      </c>
      <c r="C6" s="16">
        <v>3274439.3225892158</v>
      </c>
      <c r="D6" s="16">
        <v>3520752.9342736639</v>
      </c>
    </row>
    <row r="7" spans="1:12" x14ac:dyDescent="0.2">
      <c r="A7" t="s">
        <v>219</v>
      </c>
      <c r="B7" s="16">
        <v>1041564.590904119</v>
      </c>
      <c r="C7" s="16">
        <v>1186160.8969375719</v>
      </c>
      <c r="D7" s="16">
        <v>1364287.0537264519</v>
      </c>
    </row>
    <row r="8" spans="1:12" x14ac:dyDescent="0.2">
      <c r="A8" t="s">
        <v>396</v>
      </c>
      <c r="B8" s="16">
        <v>34.413988943974331</v>
      </c>
      <c r="C8" s="16">
        <v>36.224855008143258</v>
      </c>
      <c r="D8" s="16">
        <v>38.74986626995188</v>
      </c>
    </row>
    <row r="9" spans="1:12" x14ac:dyDescent="0.2">
      <c r="A9" t="s">
        <v>239</v>
      </c>
      <c r="B9" s="16">
        <v>-46949.880558823352</v>
      </c>
      <c r="C9" s="16">
        <v>89356.52241662622</v>
      </c>
      <c r="D9" s="16">
        <v>275694.56948376651</v>
      </c>
    </row>
    <row r="10" spans="1:12" x14ac:dyDescent="0.2">
      <c r="A10" t="s">
        <v>243</v>
      </c>
      <c r="B10" s="16">
        <v>-86773.510558823356</v>
      </c>
      <c r="C10" s="16">
        <v>49532.892416626208</v>
      </c>
      <c r="D10" s="16">
        <v>235870.9394837665</v>
      </c>
    </row>
    <row r="11" spans="1:12" x14ac:dyDescent="0.2">
      <c r="A11" t="s">
        <v>247</v>
      </c>
      <c r="B11" s="16">
        <v>-97641.376318823342</v>
      </c>
      <c r="C11" s="16">
        <v>40683.192681626228</v>
      </c>
      <c r="D11" s="16">
        <v>229035.48942793321</v>
      </c>
    </row>
    <row r="12" spans="1:12" x14ac:dyDescent="0.2">
      <c r="A12" t="s">
        <v>251</v>
      </c>
      <c r="B12" s="16">
        <v>-97641.376318823342</v>
      </c>
      <c r="C12" s="16">
        <v>33876.43636485219</v>
      </c>
      <c r="D12" s="16">
        <v>178907.70485950861</v>
      </c>
    </row>
    <row r="13" spans="1:12" x14ac:dyDescent="0.2">
      <c r="A13" t="s">
        <v>397</v>
      </c>
      <c r="B13" s="16">
        <v>-3.2261362132074911</v>
      </c>
      <c r="C13" s="16">
        <v>1.034572121436194</v>
      </c>
      <c r="D13" s="16">
        <v>5.0815183058682152</v>
      </c>
    </row>
    <row r="14" spans="1:12" x14ac:dyDescent="0.2">
      <c r="A14" t="s">
        <v>315</v>
      </c>
      <c r="B14" s="16">
        <v>-118468.27466886721</v>
      </c>
      <c r="C14" s="16">
        <v>55385.852671327579</v>
      </c>
      <c r="D14" s="16">
        <v>308578.38124413841</v>
      </c>
    </row>
    <row r="15" spans="1:12" x14ac:dyDescent="0.2">
      <c r="A15" t="s">
        <v>398</v>
      </c>
      <c r="B15" s="16">
        <v>167991.12533113279</v>
      </c>
      <c r="C15" s="16">
        <v>341845.25267132762</v>
      </c>
      <c r="D15" s="16">
        <v>595037.78124413826</v>
      </c>
    </row>
    <row r="16" spans="1:12" x14ac:dyDescent="0.2">
      <c r="A16" t="s">
        <v>117</v>
      </c>
      <c r="B16" s="16">
        <v>61489.682677260338</v>
      </c>
      <c r="C16" s="16">
        <v>90243.946068440287</v>
      </c>
      <c r="D16" s="16">
        <v>100967.4667355756</v>
      </c>
    </row>
    <row r="17" spans="1:11" x14ac:dyDescent="0.2">
      <c r="A17" t="s">
        <v>399</v>
      </c>
      <c r="B17" s="16">
        <v>237000</v>
      </c>
      <c r="C17" s="16">
        <v>197000</v>
      </c>
      <c r="D17" s="16">
        <v>101000</v>
      </c>
    </row>
    <row r="18" spans="1:11" x14ac:dyDescent="0.2">
      <c r="A18" t="s">
        <v>400</v>
      </c>
      <c r="B18" s="16">
        <v>0</v>
      </c>
      <c r="C18" s="16">
        <v>0</v>
      </c>
      <c r="D18" s="16">
        <v>0</v>
      </c>
    </row>
    <row r="19" spans="1:11" x14ac:dyDescent="0.2">
      <c r="A19" t="s">
        <v>401</v>
      </c>
      <c r="B19" s="16">
        <v>237000</v>
      </c>
      <c r="C19" s="16">
        <v>197000</v>
      </c>
      <c r="D19" s="16">
        <v>101000</v>
      </c>
    </row>
    <row r="20" spans="1:11" x14ac:dyDescent="0.2">
      <c r="A20" t="s">
        <v>402</v>
      </c>
      <c r="B20" s="16">
        <v>584814.33169020165</v>
      </c>
      <c r="C20" s="16">
        <v>587764.91154616326</v>
      </c>
      <c r="D20" s="16">
        <v>540609.85527574038</v>
      </c>
    </row>
    <row r="21" spans="1:11" x14ac:dyDescent="0.2">
      <c r="A21" t="s">
        <v>403</v>
      </c>
      <c r="B21" s="16">
        <v>416263.33588626352</v>
      </c>
      <c r="C21" s="16">
        <v>418363.52076048107</v>
      </c>
      <c r="D21" s="16">
        <v>385044.19564852299</v>
      </c>
    </row>
    <row r="22" spans="1:11" x14ac:dyDescent="0.2">
      <c r="A22" t="s">
        <v>404</v>
      </c>
      <c r="B22" s="16">
        <v>1735436.201870213</v>
      </c>
      <c r="C22" s="16">
        <v>1832275.3489310669</v>
      </c>
      <c r="D22" s="16">
        <v>1844219.450671779</v>
      </c>
    </row>
    <row r="23" spans="1:11" x14ac:dyDescent="0.2">
      <c r="A23" t="s">
        <v>405</v>
      </c>
      <c r="B23" s="16">
        <v>818.74061200152437</v>
      </c>
      <c r="C23" s="16">
        <v>889.93544782774381</v>
      </c>
      <c r="D23" s="16">
        <v>921.1792888813643</v>
      </c>
    </row>
    <row r="24" spans="1:11" x14ac:dyDescent="0.2">
      <c r="A24" t="s">
        <v>406</v>
      </c>
      <c r="B24" s="16">
        <v>2.328306436538696E-10</v>
      </c>
      <c r="C24" s="16">
        <v>2.328306436538696E-10</v>
      </c>
      <c r="D24" s="16">
        <v>4.6566128730773926E-10</v>
      </c>
    </row>
    <row r="25" spans="1:11" x14ac:dyDescent="0.2">
      <c r="A25" t="s">
        <v>407</v>
      </c>
      <c r="B25" s="16">
        <v>0</v>
      </c>
      <c r="C25" s="16">
        <v>0</v>
      </c>
      <c r="D25" s="16">
        <v>0</v>
      </c>
    </row>
    <row r="28" spans="1:11" x14ac:dyDescent="0.2">
      <c r="A28" s="3" t="s">
        <v>408</v>
      </c>
    </row>
    <row r="29" spans="1:11" ht="32" customHeight="1" x14ac:dyDescent="0.2">
      <c r="A29" s="6" t="s">
        <v>409</v>
      </c>
      <c r="B29" s="7" t="s">
        <v>410</v>
      </c>
      <c r="C29" s="7" t="s">
        <v>411</v>
      </c>
      <c r="D29" s="7" t="s">
        <v>251</v>
      </c>
      <c r="E29" s="7" t="s">
        <v>412</v>
      </c>
      <c r="F29" s="7" t="s">
        <v>398</v>
      </c>
      <c r="G29" s="7" t="s">
        <v>413</v>
      </c>
      <c r="H29" s="7" t="s">
        <v>117</v>
      </c>
      <c r="I29" s="7" t="s">
        <v>399</v>
      </c>
      <c r="J29" s="7" t="s">
        <v>401</v>
      </c>
      <c r="K29" s="7" t="s">
        <v>414</v>
      </c>
    </row>
    <row r="30" spans="1:11" x14ac:dyDescent="0.2">
      <c r="A30" t="s">
        <v>415</v>
      </c>
      <c r="B30" t="s">
        <v>416</v>
      </c>
      <c r="C30" s="16">
        <v>0.9</v>
      </c>
      <c r="D30" s="16">
        <v>-12575.256679867691</v>
      </c>
      <c r="E30" s="16">
        <v>-46451.693044719883</v>
      </c>
      <c r="F30" s="16">
        <v>312397.12082831131</v>
      </c>
      <c r="G30" s="16">
        <v>-29448.13184301625</v>
      </c>
      <c r="H30" s="16">
        <v>87768.539248881076</v>
      </c>
      <c r="I30" s="16">
        <v>158000</v>
      </c>
      <c r="J30" s="16">
        <v>158000</v>
      </c>
      <c r="K30" s="16">
        <v>-39000</v>
      </c>
    </row>
    <row r="31" spans="1:11" x14ac:dyDescent="0.2">
      <c r="A31" t="s">
        <v>415</v>
      </c>
      <c r="B31" t="s">
        <v>417</v>
      </c>
      <c r="C31" s="16">
        <v>1.1000000000000001</v>
      </c>
      <c r="D31" s="16">
        <v>74885.442373202561</v>
      </c>
      <c r="E31" s="16">
        <v>41009.00600835037</v>
      </c>
      <c r="F31" s="16">
        <v>371293.38451434369</v>
      </c>
      <c r="G31" s="16">
        <v>29448.13184301613</v>
      </c>
      <c r="H31" s="16">
        <v>84543.5707297185</v>
      </c>
      <c r="I31" s="16">
        <v>236000</v>
      </c>
      <c r="J31" s="16">
        <v>236000</v>
      </c>
      <c r="K31" s="16">
        <v>39000</v>
      </c>
    </row>
    <row r="32" spans="1:11" x14ac:dyDescent="0.2">
      <c r="A32" t="s">
        <v>418</v>
      </c>
      <c r="B32" t="s">
        <v>416</v>
      </c>
      <c r="C32" s="16">
        <v>-0.02</v>
      </c>
      <c r="D32" s="16">
        <v>-15092.411355247041</v>
      </c>
      <c r="E32" s="16">
        <v>-48968.847720099227</v>
      </c>
      <c r="F32" s="16">
        <v>278387.16309196298</v>
      </c>
      <c r="G32" s="16">
        <v>-63458.089579364518</v>
      </c>
      <c r="H32" s="16">
        <v>86932.248433928762</v>
      </c>
      <c r="I32" s="16">
        <v>222000</v>
      </c>
      <c r="J32" s="16">
        <v>222000</v>
      </c>
      <c r="K32" s="16">
        <v>25000</v>
      </c>
    </row>
    <row r="33" spans="1:11" x14ac:dyDescent="0.2">
      <c r="A33" t="s">
        <v>418</v>
      </c>
      <c r="B33" t="s">
        <v>417</v>
      </c>
      <c r="C33" s="16">
        <v>0.02</v>
      </c>
      <c r="D33" s="16">
        <v>76823.651473244448</v>
      </c>
      <c r="E33" s="16">
        <v>42947.215108392258</v>
      </c>
      <c r="F33" s="16">
        <v>405303.3422506919</v>
      </c>
      <c r="G33" s="16">
        <v>63458.089579364343</v>
      </c>
      <c r="H33" s="16">
        <v>93555.643702951827</v>
      </c>
      <c r="I33" s="16">
        <v>172000</v>
      </c>
      <c r="J33" s="16">
        <v>172000</v>
      </c>
      <c r="K33" s="16">
        <v>-25000</v>
      </c>
    </row>
    <row r="34" spans="1:11" x14ac:dyDescent="0.2">
      <c r="A34" t="s">
        <v>419</v>
      </c>
      <c r="B34" t="s">
        <v>416</v>
      </c>
      <c r="C34" s="16">
        <v>0.05</v>
      </c>
      <c r="D34" s="16">
        <v>-57381.149421249007</v>
      </c>
      <c r="E34" s="16">
        <v>-91257.585786101205</v>
      </c>
      <c r="F34" s="16">
        <v>230320.11089394829</v>
      </c>
      <c r="G34" s="16">
        <v>-111525.14177737929</v>
      </c>
      <c r="H34" s="16">
        <v>82821.057390116694</v>
      </c>
      <c r="I34" s="16">
        <v>241000</v>
      </c>
      <c r="J34" s="16">
        <v>241000</v>
      </c>
      <c r="K34" s="16">
        <v>44000</v>
      </c>
    </row>
    <row r="35" spans="1:11" x14ac:dyDescent="0.2">
      <c r="A35" t="s">
        <v>419</v>
      </c>
      <c r="B35" t="s">
        <v>417</v>
      </c>
      <c r="C35" s="16">
        <v>-0.05</v>
      </c>
      <c r="D35" s="16">
        <v>109382.4827007327</v>
      </c>
      <c r="E35" s="16">
        <v>75506.046335880528</v>
      </c>
      <c r="F35" s="16">
        <v>453365.85278204019</v>
      </c>
      <c r="G35" s="16">
        <v>111520.60011071261</v>
      </c>
      <c r="H35" s="16">
        <v>96018.733543000635</v>
      </c>
      <c r="I35" s="16">
        <v>153000</v>
      </c>
      <c r="J35" s="16">
        <v>153000</v>
      </c>
      <c r="K35" s="16">
        <v>-44000</v>
      </c>
    </row>
    <row r="36" spans="1:11" x14ac:dyDescent="0.2">
      <c r="A36" t="s">
        <v>420</v>
      </c>
      <c r="B36" t="s">
        <v>416</v>
      </c>
      <c r="C36" s="16">
        <v>-10</v>
      </c>
      <c r="D36" s="16">
        <v>33201.499281518838</v>
      </c>
      <c r="E36" s="16">
        <v>-674.93708333335235</v>
      </c>
      <c r="F36" s="16">
        <v>277981.35336094769</v>
      </c>
      <c r="G36" s="16">
        <v>-63863.899310379813</v>
      </c>
      <c r="H36" s="16">
        <v>65387.411365196778</v>
      </c>
      <c r="I36" s="16">
        <v>272000</v>
      </c>
      <c r="J36" s="16">
        <v>272000</v>
      </c>
      <c r="K36" s="16">
        <v>75000</v>
      </c>
    </row>
    <row r="37" spans="1:11" x14ac:dyDescent="0.2">
      <c r="A37" t="s">
        <v>420</v>
      </c>
      <c r="B37" t="s">
        <v>417</v>
      </c>
      <c r="C37" s="16">
        <v>10</v>
      </c>
      <c r="D37" s="16">
        <v>34376.519281518849</v>
      </c>
      <c r="E37" s="16">
        <v>500.082916666659</v>
      </c>
      <c r="F37" s="16">
        <v>405482.06864837388</v>
      </c>
      <c r="G37" s="16">
        <v>63636.815977046383</v>
      </c>
      <c r="H37" s="16">
        <v>100199.1764897469</v>
      </c>
      <c r="I37" s="16">
        <v>171000</v>
      </c>
      <c r="J37" s="16">
        <v>171000</v>
      </c>
      <c r="K37" s="16">
        <v>-26000</v>
      </c>
    </row>
    <row r="38" spans="1:11" x14ac:dyDescent="0.2">
      <c r="A38" t="s">
        <v>421</v>
      </c>
      <c r="B38" t="s">
        <v>416</v>
      </c>
      <c r="C38" s="16">
        <v>0.01</v>
      </c>
      <c r="D38" s="16">
        <v>32771.904436352183</v>
      </c>
      <c r="E38" s="16">
        <v>-1104.531928500008</v>
      </c>
      <c r="F38" s="16">
        <v>340410.79562132747</v>
      </c>
      <c r="G38" s="16">
        <v>-1434.4570500000259</v>
      </c>
      <c r="H38" s="16">
        <v>90454.821660106987</v>
      </c>
      <c r="I38" s="16">
        <v>198000</v>
      </c>
      <c r="J38" s="16">
        <v>198000</v>
      </c>
      <c r="K38" s="16">
        <v>1000</v>
      </c>
    </row>
    <row r="39" spans="1:11" x14ac:dyDescent="0.2">
      <c r="A39" t="s">
        <v>421</v>
      </c>
      <c r="B39" t="s">
        <v>417</v>
      </c>
      <c r="C39" s="16">
        <v>-0.01</v>
      </c>
      <c r="D39" s="16">
        <v>34971.407460018832</v>
      </c>
      <c r="E39" s="16">
        <v>1094.971095166642</v>
      </c>
      <c r="F39" s="16">
        <v>343267.29305466078</v>
      </c>
      <c r="G39" s="16">
        <v>1422.0403833332821</v>
      </c>
      <c r="H39" s="16">
        <v>91027.695476773617</v>
      </c>
      <c r="I39" s="16">
        <v>197000</v>
      </c>
      <c r="J39" s="16">
        <v>197000</v>
      </c>
      <c r="K39" s="16">
        <v>0</v>
      </c>
    </row>
    <row r="40" spans="1:11" x14ac:dyDescent="0.2">
      <c r="A40" t="s">
        <v>422</v>
      </c>
      <c r="B40" t="s">
        <v>416</v>
      </c>
      <c r="C40" s="16">
        <v>0.85</v>
      </c>
      <c r="D40" s="16">
        <v>-40310.902009546859</v>
      </c>
      <c r="E40" s="16">
        <v>-74187.338374399056</v>
      </c>
      <c r="F40" s="16">
        <v>259347.73671202711</v>
      </c>
      <c r="G40" s="16">
        <v>-82497.515959300508</v>
      </c>
      <c r="H40" s="16">
        <v>82360.131739059521</v>
      </c>
      <c r="I40" s="16">
        <v>218000</v>
      </c>
      <c r="J40" s="16">
        <v>218000</v>
      </c>
      <c r="K40" s="16">
        <v>21000</v>
      </c>
    </row>
    <row r="41" spans="1:11" x14ac:dyDescent="0.2">
      <c r="A41" t="s">
        <v>422</v>
      </c>
      <c r="B41" t="s">
        <v>417</v>
      </c>
      <c r="C41" s="16">
        <v>1.1499999999999999</v>
      </c>
      <c r="D41" s="16">
        <v>96238.392193722117</v>
      </c>
      <c r="E41" s="16">
        <v>62361.955828869934</v>
      </c>
      <c r="F41" s="16">
        <v>424338.2269639615</v>
      </c>
      <c r="G41" s="16">
        <v>82492.974292633939</v>
      </c>
      <c r="H41" s="16">
        <v>98127.760397821083</v>
      </c>
      <c r="I41" s="16">
        <v>176000</v>
      </c>
      <c r="J41" s="16">
        <v>176000</v>
      </c>
      <c r="K41" s="16">
        <v>-21000</v>
      </c>
    </row>
    <row r="44" spans="1:11" x14ac:dyDescent="0.2">
      <c r="A44" s="3" t="s">
        <v>423</v>
      </c>
    </row>
    <row r="45" spans="1:11" x14ac:dyDescent="0.2">
      <c r="A45" t="s">
        <v>206</v>
      </c>
      <c r="B45" s="16">
        <f>SUM(Forecast!D15:O15)</f>
        <v>3274439.3225892168</v>
      </c>
    </row>
    <row r="46" spans="1:11" x14ac:dyDescent="0.2">
      <c r="A46" t="s">
        <v>252</v>
      </c>
      <c r="B46" s="16">
        <f>SUM(Forecast!D38:O38)</f>
        <v>33876.436364852816</v>
      </c>
    </row>
    <row r="47" spans="1:11" x14ac:dyDescent="0.2">
      <c r="A47" t="s">
        <v>424</v>
      </c>
      <c r="B47" s="16">
        <f>Forecast!O41</f>
        <v>341845.25267132861</v>
      </c>
    </row>
    <row r="48" spans="1:11" x14ac:dyDescent="0.2">
      <c r="A48" t="s">
        <v>118</v>
      </c>
      <c r="B48" s="16">
        <f>MIN(Forecast!D41:O41)</f>
        <v>90243.946068440535</v>
      </c>
    </row>
    <row r="49" spans="1:2" x14ac:dyDescent="0.2">
      <c r="A49" t="s">
        <v>425</v>
      </c>
      <c r="B49" s="16">
        <f>MAX(0,MAX(Forecast!D56:O56))</f>
        <v>197000</v>
      </c>
    </row>
    <row r="50" spans="1:2" x14ac:dyDescent="0.2">
      <c r="A50" t="s">
        <v>426</v>
      </c>
      <c r="B50" s="16">
        <f>SUM(Forecast!D79:O79)</f>
        <v>0</v>
      </c>
    </row>
    <row r="51" spans="1:2" x14ac:dyDescent="0.2">
      <c r="A51" t="s">
        <v>427</v>
      </c>
      <c r="B51" s="16">
        <f>MAX(ABS(MIN(Forecast!D85:O85)),ABS(MAX(Forecast!D85:O85)))</f>
        <v>0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workbookViewId="0"/>
  </sheetViews>
  <sheetFormatPr baseColWidth="10" defaultColWidth="8.83203125" defaultRowHeight="15" x14ac:dyDescent="0.2"/>
  <cols>
    <col min="1" max="1" width="72" customWidth="1"/>
    <col min="2" max="2" width="14" customWidth="1"/>
  </cols>
  <sheetData>
    <row r="1" spans="1:6" x14ac:dyDescent="0.2">
      <c r="A1" s="23" t="s">
        <v>0</v>
      </c>
      <c r="B1" s="24"/>
      <c r="C1" s="24"/>
      <c r="D1" s="24"/>
      <c r="E1" s="24"/>
      <c r="F1" s="24"/>
    </row>
    <row r="2" spans="1:6" ht="19" customHeight="1" x14ac:dyDescent="0.25">
      <c r="A2" s="1" t="s">
        <v>428</v>
      </c>
    </row>
    <row r="5" spans="1:6" ht="16" customHeight="1" x14ac:dyDescent="0.2">
      <c r="A5" s="6" t="s">
        <v>429</v>
      </c>
      <c r="B5" s="7" t="s">
        <v>64</v>
      </c>
      <c r="C5" s="7" t="s">
        <v>430</v>
      </c>
    </row>
    <row r="6" spans="1:6" x14ac:dyDescent="0.2">
      <c r="A6" t="s">
        <v>431</v>
      </c>
      <c r="B6" s="21">
        <f>MAX(ABS(MIN(Hist_Balances!$C$60:$AJ$60)),ABS(MAX(Hist_Balances!$C$60:$AJ$60)))</f>
        <v>0</v>
      </c>
      <c r="C6" t="b">
        <f t="shared" ref="C6:C11" si="0">ABS(B6)&lt;0.01</f>
        <v>1</v>
      </c>
    </row>
    <row r="7" spans="1:6" x14ac:dyDescent="0.2">
      <c r="A7" t="s">
        <v>432</v>
      </c>
      <c r="B7" s="21">
        <f>MAX(ABS(MIN(Hist_BS!C31:AI31)),ABS(MAX(Hist_BS!C31:AI31)))</f>
        <v>0</v>
      </c>
      <c r="C7" t="b">
        <f t="shared" si="0"/>
        <v>1</v>
      </c>
    </row>
    <row r="8" spans="1:6" x14ac:dyDescent="0.2">
      <c r="A8" t="s">
        <v>433</v>
      </c>
      <c r="B8" s="21">
        <f>MAX(ABS(MIN(Hist_CF!C31:AI31)),ABS(MAX(Hist_CF!C31:AI31)))</f>
        <v>0</v>
      </c>
      <c r="C8" t="b">
        <f t="shared" si="0"/>
        <v>1</v>
      </c>
    </row>
    <row r="9" spans="1:6" x14ac:dyDescent="0.2">
      <c r="A9" t="s">
        <v>434</v>
      </c>
      <c r="B9" s="21">
        <f>MAX(ABS(MIN(Forecast!D85:O85)),ABS(MAX(Forecast!D85:O85)))</f>
        <v>0</v>
      </c>
      <c r="C9" t="b">
        <f t="shared" si="0"/>
        <v>1</v>
      </c>
    </row>
    <row r="10" spans="1:6" x14ac:dyDescent="0.2">
      <c r="A10" t="s">
        <v>435</v>
      </c>
      <c r="B10" s="21">
        <f>MAX(ABS(MIN(Forecast!D86:O86)),ABS(MAX(Forecast!D86:O86)))</f>
        <v>0</v>
      </c>
      <c r="C10" t="b">
        <f t="shared" si="0"/>
        <v>1</v>
      </c>
    </row>
    <row r="11" spans="1:6" x14ac:dyDescent="0.2">
      <c r="A11" t="s">
        <v>436</v>
      </c>
      <c r="B11" s="21">
        <f>ROUND(Forecast!C41-Hist_BS!AI6,2)</f>
        <v>0</v>
      </c>
      <c r="C11" t="b">
        <f t="shared" si="0"/>
        <v>1</v>
      </c>
    </row>
    <row r="12" spans="1:6" x14ac:dyDescent="0.2">
      <c r="A12" s="4" t="s">
        <v>437</v>
      </c>
      <c r="C12" s="4" t="b">
        <f>AND(C6:C11)</f>
        <v>1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3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ht="19" customHeight="1" x14ac:dyDescent="0.25">
      <c r="A2" s="1" t="s">
        <v>438</v>
      </c>
    </row>
    <row r="3" spans="1:40" x14ac:dyDescent="0.2">
      <c r="A3" s="2" t="s">
        <v>439</v>
      </c>
    </row>
    <row r="5" spans="1:40" ht="32" customHeight="1" x14ac:dyDescent="0.2">
      <c r="A5" s="6" t="s">
        <v>137</v>
      </c>
      <c r="B5" s="7" t="s">
        <v>28</v>
      </c>
      <c r="C5" s="7" t="s">
        <v>440</v>
      </c>
      <c r="D5" s="7" t="s">
        <v>441</v>
      </c>
      <c r="E5" s="7" t="s">
        <v>442</v>
      </c>
      <c r="F5" s="7" t="s">
        <v>443</v>
      </c>
      <c r="G5" s="7" t="s">
        <v>444</v>
      </c>
      <c r="H5" s="7" t="s">
        <v>445</v>
      </c>
      <c r="I5" s="7" t="s">
        <v>446</v>
      </c>
      <c r="J5" s="7" t="s">
        <v>447</v>
      </c>
      <c r="K5" s="7" t="s">
        <v>448</v>
      </c>
      <c r="L5" s="7" t="s">
        <v>449</v>
      </c>
      <c r="M5" s="7" t="s">
        <v>450</v>
      </c>
      <c r="N5" s="7" t="s">
        <v>451</v>
      </c>
      <c r="O5" s="7" t="s">
        <v>452</v>
      </c>
      <c r="P5" s="7" t="s">
        <v>453</v>
      </c>
      <c r="Q5" s="7" t="s">
        <v>454</v>
      </c>
      <c r="R5" s="7" t="s">
        <v>455</v>
      </c>
      <c r="S5" s="7" t="s">
        <v>456</v>
      </c>
      <c r="T5" s="7" t="s">
        <v>457</v>
      </c>
      <c r="U5" s="7" t="s">
        <v>458</v>
      </c>
      <c r="V5" s="7" t="s">
        <v>459</v>
      </c>
      <c r="W5" s="7" t="s">
        <v>460</v>
      </c>
      <c r="X5" s="7" t="s">
        <v>461</v>
      </c>
      <c r="Y5" s="7" t="s">
        <v>462</v>
      </c>
      <c r="Z5" s="7" t="s">
        <v>463</v>
      </c>
      <c r="AA5" s="7" t="s">
        <v>464</v>
      </c>
      <c r="AB5" s="7" t="s">
        <v>465</v>
      </c>
      <c r="AC5" s="7" t="s">
        <v>466</v>
      </c>
      <c r="AD5" s="7" t="s">
        <v>467</v>
      </c>
      <c r="AE5" s="7" t="s">
        <v>468</v>
      </c>
      <c r="AF5" s="7" t="s">
        <v>469</v>
      </c>
      <c r="AG5" s="7" t="s">
        <v>470</v>
      </c>
      <c r="AH5" s="7" t="s">
        <v>471</v>
      </c>
      <c r="AI5" s="7" t="s">
        <v>472</v>
      </c>
      <c r="AJ5" s="7" t="s">
        <v>473</v>
      </c>
      <c r="AK5" s="7" t="s">
        <v>474</v>
      </c>
      <c r="AL5" s="7" t="s">
        <v>475</v>
      </c>
    </row>
    <row r="6" spans="1:40" x14ac:dyDescent="0.2">
      <c r="A6" t="s">
        <v>192</v>
      </c>
      <c r="B6" s="8" t="s">
        <v>191</v>
      </c>
      <c r="C6" s="16">
        <v>50428.97</v>
      </c>
      <c r="D6" s="16">
        <v>50339</v>
      </c>
      <c r="E6" s="16">
        <v>122816.92</v>
      </c>
      <c r="F6" s="16">
        <v>295515.84000000003</v>
      </c>
      <c r="G6" s="16">
        <v>357640.71</v>
      </c>
      <c r="H6" s="16">
        <v>310458.84000000003</v>
      </c>
      <c r="I6" s="16">
        <v>318145.78999999998</v>
      </c>
      <c r="J6" s="16">
        <v>272296.86</v>
      </c>
      <c r="K6" s="16">
        <v>160877.91</v>
      </c>
      <c r="L6" s="16">
        <v>122879.93</v>
      </c>
      <c r="M6" s="16">
        <v>104834.95</v>
      </c>
      <c r="N6" s="16">
        <v>104174.93</v>
      </c>
      <c r="O6" s="16">
        <v>50401.97</v>
      </c>
      <c r="P6" s="16">
        <v>43633.99</v>
      </c>
      <c r="Q6" s="16">
        <v>74070.97</v>
      </c>
      <c r="R6" s="16">
        <v>312186.78000000003</v>
      </c>
      <c r="S6" s="16">
        <v>335848.82</v>
      </c>
      <c r="T6" s="16">
        <v>330083.78999999998</v>
      </c>
      <c r="U6" s="16">
        <v>295981.86</v>
      </c>
      <c r="V6" s="16">
        <v>283498.84000000003</v>
      </c>
      <c r="W6" s="16">
        <v>202701.83</v>
      </c>
      <c r="X6" s="16">
        <v>106321.92</v>
      </c>
      <c r="Y6" s="16">
        <v>106112.95</v>
      </c>
      <c r="Z6" s="16">
        <v>67477.95</v>
      </c>
      <c r="AA6" s="16">
        <v>73577.94</v>
      </c>
      <c r="AB6" s="16">
        <v>68797.960000000006</v>
      </c>
      <c r="AC6" s="16">
        <v>138062.94</v>
      </c>
      <c r="AD6" s="16">
        <v>263022.78999999998</v>
      </c>
      <c r="AE6" s="16">
        <v>396934.75</v>
      </c>
      <c r="AF6" s="16">
        <v>346100.81</v>
      </c>
      <c r="AG6" s="16">
        <v>325802.8</v>
      </c>
      <c r="AH6" s="16">
        <v>296693.84000000003</v>
      </c>
      <c r="AI6" s="16">
        <v>172304.84</v>
      </c>
      <c r="AJ6" s="16">
        <f t="shared" ref="AJ6:AJ36" si="0">SUM(C6:N6)</f>
        <v>2270410.6500000004</v>
      </c>
      <c r="AK6" s="16">
        <f t="shared" ref="AK6:AK36" si="1">SUM(O6:Z6)</f>
        <v>2208321.6700000004</v>
      </c>
      <c r="AL6" s="16">
        <f t="shared" ref="AL6:AL36" si="2">SUM(AA6:AI6)</f>
        <v>2081298.6700000002</v>
      </c>
    </row>
    <row r="7" spans="1:40" x14ac:dyDescent="0.2">
      <c r="A7" t="s">
        <v>194</v>
      </c>
      <c r="B7" s="8" t="s">
        <v>193</v>
      </c>
      <c r="C7" s="16">
        <v>14013.4</v>
      </c>
      <c r="D7" s="16">
        <v>12961.43</v>
      </c>
      <c r="E7" s="16">
        <v>17131.41</v>
      </c>
      <c r="F7" s="16">
        <v>22302.58</v>
      </c>
      <c r="G7" s="16">
        <v>26287.4</v>
      </c>
      <c r="H7" s="16">
        <v>26019.84</v>
      </c>
      <c r="I7" s="16">
        <v>27524.82</v>
      </c>
      <c r="J7" s="16">
        <v>25421.63</v>
      </c>
      <c r="K7" s="16">
        <v>23408.79</v>
      </c>
      <c r="L7" s="16">
        <v>24925.3</v>
      </c>
      <c r="M7" s="16">
        <v>14944.99</v>
      </c>
      <c r="N7" s="16">
        <v>14152.8</v>
      </c>
      <c r="O7" s="16">
        <v>13672.46</v>
      </c>
      <c r="P7" s="16">
        <v>11536.17</v>
      </c>
      <c r="Q7" s="16">
        <v>16715.07</v>
      </c>
      <c r="R7" s="16">
        <v>21213.1</v>
      </c>
      <c r="S7" s="16">
        <v>35951.089999999997</v>
      </c>
      <c r="T7" s="16">
        <v>29502.52</v>
      </c>
      <c r="U7" s="16">
        <v>21874.55</v>
      </c>
      <c r="V7" s="16">
        <v>23052.52</v>
      </c>
      <c r="W7" s="16">
        <v>21382.51</v>
      </c>
      <c r="X7" s="16">
        <v>22891.97</v>
      </c>
      <c r="Y7" s="16">
        <v>13785.14</v>
      </c>
      <c r="Z7" s="16">
        <v>13690.19</v>
      </c>
      <c r="AA7" s="16">
        <v>17379.73</v>
      </c>
      <c r="AB7" s="16">
        <v>9238.57</v>
      </c>
      <c r="AC7" s="16">
        <v>15903.38</v>
      </c>
      <c r="AD7" s="16">
        <v>30050.25</v>
      </c>
      <c r="AE7" s="16">
        <v>36211.79</v>
      </c>
      <c r="AF7" s="16">
        <v>39905.550000000003</v>
      </c>
      <c r="AG7" s="16">
        <v>29787.37</v>
      </c>
      <c r="AH7" s="16">
        <v>29177.31</v>
      </c>
      <c r="AI7" s="16">
        <v>22361.65</v>
      </c>
      <c r="AJ7" s="16">
        <f t="shared" si="0"/>
        <v>249094.38999999998</v>
      </c>
      <c r="AK7" s="16">
        <f t="shared" si="1"/>
        <v>245267.28999999998</v>
      </c>
      <c r="AL7" s="16">
        <f t="shared" si="2"/>
        <v>230015.6</v>
      </c>
    </row>
    <row r="8" spans="1:40" x14ac:dyDescent="0.2">
      <c r="A8" t="s">
        <v>196</v>
      </c>
      <c r="B8" s="8" t="s">
        <v>195</v>
      </c>
      <c r="C8" s="16">
        <v>18008.66</v>
      </c>
      <c r="D8" s="16">
        <v>40421.83</v>
      </c>
      <c r="E8" s="16">
        <v>34718.129999999997</v>
      </c>
      <c r="F8" s="16">
        <v>58779.15</v>
      </c>
      <c r="G8" s="16">
        <v>64423.56</v>
      </c>
      <c r="H8" s="16">
        <v>53391.19</v>
      </c>
      <c r="I8" s="16">
        <v>69612.240000000005</v>
      </c>
      <c r="J8" s="16">
        <v>60741.73</v>
      </c>
      <c r="K8" s="16">
        <v>55917.599999999999</v>
      </c>
      <c r="L8" s="16">
        <v>34240.230000000003</v>
      </c>
      <c r="M8" s="16">
        <v>28237.43</v>
      </c>
      <c r="N8" s="16">
        <v>25057.94</v>
      </c>
      <c r="O8" s="16">
        <v>29443.57</v>
      </c>
      <c r="P8" s="16">
        <v>34996.03</v>
      </c>
      <c r="Q8" s="16">
        <v>51862.99</v>
      </c>
      <c r="R8" s="16">
        <v>64747.99</v>
      </c>
      <c r="S8" s="16">
        <v>62566.04</v>
      </c>
      <c r="T8" s="16">
        <v>65529.96</v>
      </c>
      <c r="U8" s="16">
        <v>64189.22</v>
      </c>
      <c r="V8" s="16">
        <v>67399.289999999994</v>
      </c>
      <c r="W8" s="16">
        <v>68839.199999999997</v>
      </c>
      <c r="X8" s="16">
        <v>40982.839999999997</v>
      </c>
      <c r="Y8" s="16">
        <v>25940.5</v>
      </c>
      <c r="Z8" s="16">
        <v>21186.53</v>
      </c>
      <c r="AA8" s="16">
        <v>33117.89</v>
      </c>
      <c r="AB8" s="16">
        <v>35517.54</v>
      </c>
      <c r="AC8" s="16">
        <v>55989.06</v>
      </c>
      <c r="AD8" s="16">
        <v>71677.87</v>
      </c>
      <c r="AE8" s="16">
        <v>79081.59</v>
      </c>
      <c r="AF8" s="16">
        <v>85342.71</v>
      </c>
      <c r="AG8" s="16">
        <v>76772.97</v>
      </c>
      <c r="AH8" s="16">
        <v>68353.64</v>
      </c>
      <c r="AI8" s="16">
        <v>44325.8</v>
      </c>
      <c r="AJ8" s="16">
        <f t="shared" si="0"/>
        <v>543549.68999999994</v>
      </c>
      <c r="AK8" s="16">
        <f t="shared" si="1"/>
        <v>597684.16</v>
      </c>
      <c r="AL8" s="16">
        <f t="shared" si="2"/>
        <v>550179.07000000007</v>
      </c>
    </row>
    <row r="9" spans="1:40" x14ac:dyDescent="0.2">
      <c r="A9" s="17" t="s">
        <v>198</v>
      </c>
      <c r="B9" s="17" t="s">
        <v>197</v>
      </c>
      <c r="C9" s="18">
        <f t="shared" ref="C9:AI9" si="3">C6+C7+C8</f>
        <v>82451.03</v>
      </c>
      <c r="D9" s="18">
        <f t="shared" si="3"/>
        <v>103722.26000000001</v>
      </c>
      <c r="E9" s="18">
        <f t="shared" si="3"/>
        <v>174666.46</v>
      </c>
      <c r="F9" s="18">
        <f t="shared" si="3"/>
        <v>376597.57000000007</v>
      </c>
      <c r="G9" s="18">
        <f t="shared" si="3"/>
        <v>448351.67000000004</v>
      </c>
      <c r="H9" s="18">
        <f t="shared" si="3"/>
        <v>389869.87000000005</v>
      </c>
      <c r="I9" s="18">
        <f t="shared" si="3"/>
        <v>415282.85</v>
      </c>
      <c r="J9" s="18">
        <f t="shared" si="3"/>
        <v>358460.22</v>
      </c>
      <c r="K9" s="18">
        <f t="shared" si="3"/>
        <v>240204.30000000002</v>
      </c>
      <c r="L9" s="18">
        <f t="shared" si="3"/>
        <v>182045.46</v>
      </c>
      <c r="M9" s="18">
        <f t="shared" si="3"/>
        <v>148017.37</v>
      </c>
      <c r="N9" s="18">
        <f t="shared" si="3"/>
        <v>143385.66999999998</v>
      </c>
      <c r="O9" s="18">
        <f t="shared" si="3"/>
        <v>93518</v>
      </c>
      <c r="P9" s="18">
        <f t="shared" si="3"/>
        <v>90166.19</v>
      </c>
      <c r="Q9" s="18">
        <f t="shared" si="3"/>
        <v>142649.03</v>
      </c>
      <c r="R9" s="18">
        <f t="shared" si="3"/>
        <v>398147.87</v>
      </c>
      <c r="S9" s="18">
        <f t="shared" si="3"/>
        <v>434365.95</v>
      </c>
      <c r="T9" s="18">
        <f t="shared" si="3"/>
        <v>425116.27</v>
      </c>
      <c r="U9" s="18">
        <f t="shared" si="3"/>
        <v>382045.63</v>
      </c>
      <c r="V9" s="18">
        <f t="shared" si="3"/>
        <v>373950.65</v>
      </c>
      <c r="W9" s="18">
        <f t="shared" si="3"/>
        <v>292923.53999999998</v>
      </c>
      <c r="X9" s="18">
        <f t="shared" si="3"/>
        <v>170196.72999999998</v>
      </c>
      <c r="Y9" s="18">
        <f t="shared" si="3"/>
        <v>145838.59</v>
      </c>
      <c r="Z9" s="18">
        <f t="shared" si="3"/>
        <v>102354.67</v>
      </c>
      <c r="AA9" s="18">
        <f t="shared" si="3"/>
        <v>124075.56</v>
      </c>
      <c r="AB9" s="18">
        <f t="shared" si="3"/>
        <v>113554.07</v>
      </c>
      <c r="AC9" s="18">
        <f t="shared" si="3"/>
        <v>209955.38</v>
      </c>
      <c r="AD9" s="18">
        <f t="shared" si="3"/>
        <v>364750.91</v>
      </c>
      <c r="AE9" s="18">
        <f t="shared" si="3"/>
        <v>512228.13</v>
      </c>
      <c r="AF9" s="18">
        <f t="shared" si="3"/>
        <v>471349.07</v>
      </c>
      <c r="AG9" s="18">
        <f t="shared" si="3"/>
        <v>432363.14</v>
      </c>
      <c r="AH9" s="18">
        <f t="shared" si="3"/>
        <v>394224.79000000004</v>
      </c>
      <c r="AI9" s="18">
        <f t="shared" si="3"/>
        <v>238992.28999999998</v>
      </c>
      <c r="AJ9" s="18">
        <f t="shared" si="0"/>
        <v>3063054.7300000004</v>
      </c>
      <c r="AK9" s="18">
        <f t="shared" si="1"/>
        <v>3051273.1199999996</v>
      </c>
      <c r="AL9" s="18">
        <f t="shared" si="2"/>
        <v>2861493.34</v>
      </c>
    </row>
    <row r="10" spans="1:40" x14ac:dyDescent="0.2">
      <c r="A10" t="s">
        <v>200</v>
      </c>
      <c r="B10" s="8" t="s">
        <v>199</v>
      </c>
      <c r="C10" s="16">
        <v>-721.87</v>
      </c>
      <c r="D10" s="16">
        <v>-1044.0899999999999</v>
      </c>
      <c r="E10" s="16">
        <v>-2256.85</v>
      </c>
      <c r="F10" s="16">
        <v>-13934.24</v>
      </c>
      <c r="G10" s="16">
        <v>-9471.36</v>
      </c>
      <c r="H10" s="16">
        <v>-7632.92</v>
      </c>
      <c r="I10" s="16">
        <v>-5914.76</v>
      </c>
      <c r="J10" s="16">
        <v>-3959.27</v>
      </c>
      <c r="K10" s="16">
        <v>-3195.07</v>
      </c>
      <c r="L10" s="16">
        <v>-1904.03</v>
      </c>
      <c r="M10" s="16">
        <v>-6328.37</v>
      </c>
      <c r="N10" s="16">
        <v>-3384.44</v>
      </c>
      <c r="O10" s="16">
        <v>-1024.5899999999999</v>
      </c>
      <c r="P10" s="16">
        <v>-488.94</v>
      </c>
      <c r="Q10" s="16">
        <v>-1331.5</v>
      </c>
      <c r="R10" s="16">
        <v>-15891.6</v>
      </c>
      <c r="S10" s="16">
        <v>-9656.74</v>
      </c>
      <c r="T10" s="16">
        <v>-7955.35</v>
      </c>
      <c r="U10" s="16">
        <v>-4657.57</v>
      </c>
      <c r="V10" s="16">
        <v>-4897.54</v>
      </c>
      <c r="W10" s="16">
        <v>-3200.12</v>
      </c>
      <c r="X10" s="16">
        <v>-2250.6</v>
      </c>
      <c r="Y10" s="16">
        <v>-4362.38</v>
      </c>
      <c r="Z10" s="16">
        <v>-3198.57</v>
      </c>
      <c r="AA10" s="16">
        <v>-1350.77</v>
      </c>
      <c r="AB10" s="16">
        <v>-1083.3</v>
      </c>
      <c r="AC10" s="16">
        <v>-2320.98</v>
      </c>
      <c r="AD10" s="16">
        <v>-12953.76</v>
      </c>
      <c r="AE10" s="16">
        <v>-9322.1200000000008</v>
      </c>
      <c r="AF10" s="16">
        <v>-8742.4500000000007</v>
      </c>
      <c r="AG10" s="16">
        <v>-5407.47</v>
      </c>
      <c r="AH10" s="16">
        <v>-6511.39</v>
      </c>
      <c r="AI10" s="16">
        <v>-3389.15</v>
      </c>
      <c r="AJ10" s="16">
        <f t="shared" si="0"/>
        <v>-59747.270000000004</v>
      </c>
      <c r="AK10" s="16">
        <f t="shared" si="1"/>
        <v>-58915.5</v>
      </c>
      <c r="AL10" s="16">
        <f t="shared" si="2"/>
        <v>-51081.390000000007</v>
      </c>
    </row>
    <row r="11" spans="1:40" x14ac:dyDescent="0.2">
      <c r="A11" t="s">
        <v>202</v>
      </c>
      <c r="B11" s="8" t="s">
        <v>201</v>
      </c>
      <c r="C11" s="16">
        <v>-94.98</v>
      </c>
      <c r="D11" s="16">
        <v>-192.47</v>
      </c>
      <c r="E11" s="16">
        <v>-5318.09</v>
      </c>
      <c r="F11" s="16">
        <v>-5077.03</v>
      </c>
      <c r="G11" s="16">
        <v>-7789.39</v>
      </c>
      <c r="H11" s="16">
        <v>-14431.61</v>
      </c>
      <c r="I11" s="16">
        <v>-6553.18</v>
      </c>
      <c r="J11" s="16">
        <v>-11741.96</v>
      </c>
      <c r="K11" s="16">
        <v>-9224.0400000000009</v>
      </c>
      <c r="L11" s="16">
        <v>-3975.47</v>
      </c>
      <c r="M11" s="16">
        <v>-189.97</v>
      </c>
      <c r="N11" s="16">
        <v>-4183.13</v>
      </c>
      <c r="O11" s="16">
        <v>-3361.94</v>
      </c>
      <c r="P11" s="16">
        <v>-2429.1</v>
      </c>
      <c r="Q11" s="16">
        <v>-2739.98</v>
      </c>
      <c r="R11" s="16">
        <v>-6092.96</v>
      </c>
      <c r="S11" s="16">
        <v>-14106.22</v>
      </c>
      <c r="T11" s="16">
        <v>-7845</v>
      </c>
      <c r="U11" s="16">
        <v>-9325.9699999999993</v>
      </c>
      <c r="V11" s="16">
        <v>-2622.42</v>
      </c>
      <c r="W11" s="16">
        <v>-14089.4</v>
      </c>
      <c r="X11" s="16">
        <v>-6167.93</v>
      </c>
      <c r="Y11" s="16">
        <v>-79.98</v>
      </c>
      <c r="Z11" s="16">
        <v>-699.99</v>
      </c>
      <c r="AA11" s="16">
        <v>-6285.12</v>
      </c>
      <c r="AB11" s="16">
        <v>-5382.96</v>
      </c>
      <c r="AC11" s="16">
        <v>-3772.43</v>
      </c>
      <c r="AD11" s="16">
        <v>-3327.9</v>
      </c>
      <c r="AE11" s="16">
        <v>-11295.93</v>
      </c>
      <c r="AF11" s="16">
        <v>-3243.93</v>
      </c>
      <c r="AG11" s="16">
        <v>-24283.47</v>
      </c>
      <c r="AH11" s="16">
        <v>-6521.67</v>
      </c>
      <c r="AI11" s="16">
        <v>-8514.48</v>
      </c>
      <c r="AJ11" s="16">
        <f t="shared" si="0"/>
        <v>-68771.320000000007</v>
      </c>
      <c r="AK11" s="16">
        <f t="shared" si="1"/>
        <v>-69560.89</v>
      </c>
      <c r="AL11" s="16">
        <f t="shared" si="2"/>
        <v>-72627.89</v>
      </c>
    </row>
    <row r="12" spans="1:40" x14ac:dyDescent="0.2">
      <c r="A12" s="17" t="s">
        <v>204</v>
      </c>
      <c r="B12" s="17" t="s">
        <v>203</v>
      </c>
      <c r="C12" s="18">
        <f t="shared" ref="C12:AI12" si="4">C10+C11</f>
        <v>-816.85</v>
      </c>
      <c r="D12" s="18">
        <f t="shared" si="4"/>
        <v>-1236.56</v>
      </c>
      <c r="E12" s="18">
        <f t="shared" si="4"/>
        <v>-7574.9400000000005</v>
      </c>
      <c r="F12" s="18">
        <f t="shared" si="4"/>
        <v>-19011.27</v>
      </c>
      <c r="G12" s="18">
        <f t="shared" si="4"/>
        <v>-17260.75</v>
      </c>
      <c r="H12" s="18">
        <f t="shared" si="4"/>
        <v>-22064.53</v>
      </c>
      <c r="I12" s="18">
        <f t="shared" si="4"/>
        <v>-12467.94</v>
      </c>
      <c r="J12" s="18">
        <f t="shared" si="4"/>
        <v>-15701.23</v>
      </c>
      <c r="K12" s="18">
        <f t="shared" si="4"/>
        <v>-12419.11</v>
      </c>
      <c r="L12" s="18">
        <f t="shared" si="4"/>
        <v>-5879.5</v>
      </c>
      <c r="M12" s="18">
        <f t="shared" si="4"/>
        <v>-6518.34</v>
      </c>
      <c r="N12" s="18">
        <f t="shared" si="4"/>
        <v>-7567.57</v>
      </c>
      <c r="O12" s="18">
        <f t="shared" si="4"/>
        <v>-4386.53</v>
      </c>
      <c r="P12" s="18">
        <f t="shared" si="4"/>
        <v>-2918.04</v>
      </c>
      <c r="Q12" s="18">
        <f t="shared" si="4"/>
        <v>-4071.48</v>
      </c>
      <c r="R12" s="18">
        <f t="shared" si="4"/>
        <v>-21984.560000000001</v>
      </c>
      <c r="S12" s="18">
        <f t="shared" si="4"/>
        <v>-23762.959999999999</v>
      </c>
      <c r="T12" s="18">
        <f t="shared" si="4"/>
        <v>-15800.35</v>
      </c>
      <c r="U12" s="18">
        <f t="shared" si="4"/>
        <v>-13983.539999999999</v>
      </c>
      <c r="V12" s="18">
        <f t="shared" si="4"/>
        <v>-7519.96</v>
      </c>
      <c r="W12" s="18">
        <f t="shared" si="4"/>
        <v>-17289.52</v>
      </c>
      <c r="X12" s="18">
        <f t="shared" si="4"/>
        <v>-8418.5300000000007</v>
      </c>
      <c r="Y12" s="18">
        <f t="shared" si="4"/>
        <v>-4442.3599999999997</v>
      </c>
      <c r="Z12" s="18">
        <f t="shared" si="4"/>
        <v>-3898.5600000000004</v>
      </c>
      <c r="AA12" s="18">
        <f t="shared" si="4"/>
        <v>-7635.8899999999994</v>
      </c>
      <c r="AB12" s="18">
        <f t="shared" si="4"/>
        <v>-6466.26</v>
      </c>
      <c r="AC12" s="18">
        <f t="shared" si="4"/>
        <v>-6093.41</v>
      </c>
      <c r="AD12" s="18">
        <f t="shared" si="4"/>
        <v>-16281.66</v>
      </c>
      <c r="AE12" s="18">
        <f t="shared" si="4"/>
        <v>-20618.050000000003</v>
      </c>
      <c r="AF12" s="18">
        <f t="shared" si="4"/>
        <v>-11986.380000000001</v>
      </c>
      <c r="AG12" s="18">
        <f t="shared" si="4"/>
        <v>-29690.940000000002</v>
      </c>
      <c r="AH12" s="18">
        <f t="shared" si="4"/>
        <v>-13033.060000000001</v>
      </c>
      <c r="AI12" s="18">
        <f t="shared" si="4"/>
        <v>-11903.63</v>
      </c>
      <c r="AJ12" s="18">
        <f t="shared" si="0"/>
        <v>-128518.59</v>
      </c>
      <c r="AK12" s="18">
        <f t="shared" si="1"/>
        <v>-128476.39</v>
      </c>
      <c r="AL12" s="18">
        <f t="shared" si="2"/>
        <v>-123709.28000000001</v>
      </c>
    </row>
    <row r="13" spans="1:40" x14ac:dyDescent="0.2">
      <c r="A13" s="17" t="s">
        <v>206</v>
      </c>
      <c r="B13" s="17" t="s">
        <v>205</v>
      </c>
      <c r="C13" s="18">
        <f t="shared" ref="C13:AI13" si="5">C9+C12</f>
        <v>81634.179999999993</v>
      </c>
      <c r="D13" s="18">
        <f t="shared" si="5"/>
        <v>102485.70000000001</v>
      </c>
      <c r="E13" s="18">
        <f t="shared" si="5"/>
        <v>167091.51999999999</v>
      </c>
      <c r="F13" s="18">
        <f t="shared" si="5"/>
        <v>357586.30000000005</v>
      </c>
      <c r="G13" s="18">
        <f t="shared" si="5"/>
        <v>431090.92000000004</v>
      </c>
      <c r="H13" s="18">
        <f t="shared" si="5"/>
        <v>367805.34000000008</v>
      </c>
      <c r="I13" s="18">
        <f t="shared" si="5"/>
        <v>402814.91</v>
      </c>
      <c r="J13" s="18">
        <f t="shared" si="5"/>
        <v>342758.99</v>
      </c>
      <c r="K13" s="18">
        <f t="shared" si="5"/>
        <v>227785.19</v>
      </c>
      <c r="L13" s="18">
        <f t="shared" si="5"/>
        <v>176165.96</v>
      </c>
      <c r="M13" s="18">
        <f t="shared" si="5"/>
        <v>141499.03</v>
      </c>
      <c r="N13" s="18">
        <f t="shared" si="5"/>
        <v>135818.09999999998</v>
      </c>
      <c r="O13" s="18">
        <f t="shared" si="5"/>
        <v>89131.47</v>
      </c>
      <c r="P13" s="18">
        <f t="shared" si="5"/>
        <v>87248.150000000009</v>
      </c>
      <c r="Q13" s="18">
        <f t="shared" si="5"/>
        <v>138577.54999999999</v>
      </c>
      <c r="R13" s="18">
        <f t="shared" si="5"/>
        <v>376163.31</v>
      </c>
      <c r="S13" s="18">
        <f t="shared" si="5"/>
        <v>410602.99</v>
      </c>
      <c r="T13" s="18">
        <f t="shared" si="5"/>
        <v>409315.92000000004</v>
      </c>
      <c r="U13" s="18">
        <f t="shared" si="5"/>
        <v>368062.09</v>
      </c>
      <c r="V13" s="18">
        <f t="shared" si="5"/>
        <v>366430.69</v>
      </c>
      <c r="W13" s="18">
        <f t="shared" si="5"/>
        <v>275634.01999999996</v>
      </c>
      <c r="X13" s="18">
        <f t="shared" si="5"/>
        <v>161778.19999999998</v>
      </c>
      <c r="Y13" s="18">
        <f t="shared" si="5"/>
        <v>141396.23000000001</v>
      </c>
      <c r="Z13" s="18">
        <f t="shared" si="5"/>
        <v>98456.11</v>
      </c>
      <c r="AA13" s="18">
        <f t="shared" si="5"/>
        <v>116439.67</v>
      </c>
      <c r="AB13" s="18">
        <f t="shared" si="5"/>
        <v>107087.81000000001</v>
      </c>
      <c r="AC13" s="18">
        <f t="shared" si="5"/>
        <v>203861.97</v>
      </c>
      <c r="AD13" s="18">
        <f t="shared" si="5"/>
        <v>348469.25</v>
      </c>
      <c r="AE13" s="18">
        <f t="shared" si="5"/>
        <v>491610.08</v>
      </c>
      <c r="AF13" s="18">
        <f t="shared" si="5"/>
        <v>459362.69</v>
      </c>
      <c r="AG13" s="18">
        <f t="shared" si="5"/>
        <v>402672.2</v>
      </c>
      <c r="AH13" s="18">
        <f t="shared" si="5"/>
        <v>381191.73000000004</v>
      </c>
      <c r="AI13" s="18">
        <f t="shared" si="5"/>
        <v>227088.65999999997</v>
      </c>
      <c r="AJ13" s="18">
        <f t="shared" si="0"/>
        <v>2934536.14</v>
      </c>
      <c r="AK13" s="18">
        <f t="shared" si="1"/>
        <v>2922796.7300000004</v>
      </c>
      <c r="AL13" s="18">
        <f t="shared" si="2"/>
        <v>2737784.06</v>
      </c>
    </row>
    <row r="14" spans="1:40" x14ac:dyDescent="0.2">
      <c r="A14" t="s">
        <v>208</v>
      </c>
      <c r="B14" s="8" t="s">
        <v>207</v>
      </c>
      <c r="C14" s="16">
        <v>-35896.089999999997</v>
      </c>
      <c r="D14" s="16">
        <v>-35449.040000000001</v>
      </c>
      <c r="E14" s="16">
        <v>-82587.839999999997</v>
      </c>
      <c r="F14" s="16">
        <v>-203983.61</v>
      </c>
      <c r="G14" s="16">
        <v>-245508.81</v>
      </c>
      <c r="H14" s="16">
        <v>-208890.53</v>
      </c>
      <c r="I14" s="16">
        <v>-220113.58</v>
      </c>
      <c r="J14" s="16">
        <v>-185421</v>
      </c>
      <c r="K14" s="16">
        <v>-107153.09</v>
      </c>
      <c r="L14" s="16">
        <v>-84130.54</v>
      </c>
      <c r="M14" s="16">
        <v>-73568.87</v>
      </c>
      <c r="N14" s="16">
        <v>-70609.53</v>
      </c>
      <c r="O14" s="16">
        <v>-33766.81</v>
      </c>
      <c r="P14" s="16">
        <v>-28905.42</v>
      </c>
      <c r="Q14" s="16">
        <v>-50352.42</v>
      </c>
      <c r="R14" s="16">
        <v>-214777.2</v>
      </c>
      <c r="S14" s="16">
        <v>-226197.89</v>
      </c>
      <c r="T14" s="16">
        <v>-226926.58</v>
      </c>
      <c r="U14" s="16">
        <v>-204061.93</v>
      </c>
      <c r="V14" s="16">
        <v>-198589.64</v>
      </c>
      <c r="W14" s="16">
        <v>-133690.81</v>
      </c>
      <c r="X14" s="16">
        <v>-72695.89</v>
      </c>
      <c r="Y14" s="16">
        <v>-75043.570000000007</v>
      </c>
      <c r="Z14" s="16">
        <v>-48145.3</v>
      </c>
      <c r="AA14" s="16">
        <v>-46825.8</v>
      </c>
      <c r="AB14" s="16">
        <v>-45738.13</v>
      </c>
      <c r="AC14" s="16">
        <v>-95136.16</v>
      </c>
      <c r="AD14" s="16">
        <v>-182161.14</v>
      </c>
      <c r="AE14" s="16">
        <v>-271694.58</v>
      </c>
      <c r="AF14" s="16">
        <v>-242159.34</v>
      </c>
      <c r="AG14" s="16">
        <v>-211792.24</v>
      </c>
      <c r="AH14" s="16">
        <v>-205132.33</v>
      </c>
      <c r="AI14" s="16">
        <v>-114500.02</v>
      </c>
      <c r="AJ14" s="16">
        <f t="shared" si="0"/>
        <v>-1553312.53</v>
      </c>
      <c r="AK14" s="16">
        <f t="shared" si="1"/>
        <v>-1513153.4600000002</v>
      </c>
      <c r="AL14" s="16">
        <f t="shared" si="2"/>
        <v>-1415139.7400000002</v>
      </c>
    </row>
    <row r="15" spans="1:40" x14ac:dyDescent="0.2">
      <c r="A15" t="s">
        <v>210</v>
      </c>
      <c r="B15" s="8" t="s">
        <v>209</v>
      </c>
      <c r="C15" s="16">
        <v>-8277.9</v>
      </c>
      <c r="D15" s="16">
        <v>-7439.31</v>
      </c>
      <c r="E15" s="16">
        <v>-9717.2199999999993</v>
      </c>
      <c r="F15" s="16">
        <v>-11763.59</v>
      </c>
      <c r="G15" s="16">
        <v>-14195.76</v>
      </c>
      <c r="H15" s="16">
        <v>-13864.89</v>
      </c>
      <c r="I15" s="16">
        <v>-14555.3</v>
      </c>
      <c r="J15" s="16">
        <v>-13040.05</v>
      </c>
      <c r="K15" s="16">
        <v>-13522.62</v>
      </c>
      <c r="L15" s="16">
        <v>-14635.14</v>
      </c>
      <c r="M15" s="16">
        <v>-7991.11</v>
      </c>
      <c r="N15" s="16">
        <v>-7635.69</v>
      </c>
      <c r="O15" s="16">
        <v>-8028.86</v>
      </c>
      <c r="P15" s="16">
        <v>-6366.57</v>
      </c>
      <c r="Q15" s="16">
        <v>-9537.73</v>
      </c>
      <c r="R15" s="16">
        <v>-10809.52</v>
      </c>
      <c r="S15" s="16">
        <v>-20786.509999999998</v>
      </c>
      <c r="T15" s="16">
        <v>-16580.46</v>
      </c>
      <c r="U15" s="16">
        <v>-11213.99</v>
      </c>
      <c r="V15" s="16">
        <v>-12001.02</v>
      </c>
      <c r="W15" s="16">
        <v>-11460.37</v>
      </c>
      <c r="X15" s="16">
        <v>-11019.86</v>
      </c>
      <c r="Y15" s="16">
        <v>-7619.92</v>
      </c>
      <c r="Z15" s="16">
        <v>-6965.36</v>
      </c>
      <c r="AA15" s="16">
        <v>-10197.620000000001</v>
      </c>
      <c r="AB15" s="16">
        <v>-4397.82</v>
      </c>
      <c r="AC15" s="16">
        <v>-8476.11</v>
      </c>
      <c r="AD15" s="16">
        <v>-17173.77</v>
      </c>
      <c r="AE15" s="16">
        <v>-20205.84</v>
      </c>
      <c r="AF15" s="16">
        <v>-23186.21</v>
      </c>
      <c r="AG15" s="16">
        <v>-16453.63</v>
      </c>
      <c r="AH15" s="16">
        <v>-16078.87</v>
      </c>
      <c r="AI15" s="16">
        <v>-12492.04</v>
      </c>
      <c r="AJ15" s="16">
        <f t="shared" si="0"/>
        <v>-136638.57999999999</v>
      </c>
      <c r="AK15" s="16">
        <f t="shared" si="1"/>
        <v>-132390.16999999998</v>
      </c>
      <c r="AL15" s="16">
        <f t="shared" si="2"/>
        <v>-128661.91</v>
      </c>
    </row>
    <row r="16" spans="1:40" x14ac:dyDescent="0.2">
      <c r="A16" t="s">
        <v>212</v>
      </c>
      <c r="B16" s="8" t="s">
        <v>211</v>
      </c>
      <c r="C16" s="16">
        <v>-574.16999999999996</v>
      </c>
      <c r="D16" s="16">
        <v>-899.3</v>
      </c>
      <c r="E16" s="16">
        <v>0</v>
      </c>
      <c r="F16" s="16">
        <v>-37.69</v>
      </c>
      <c r="G16" s="16">
        <v>-64.98</v>
      </c>
      <c r="H16" s="16">
        <v>-5518.53</v>
      </c>
      <c r="I16" s="16">
        <v>-160.46</v>
      </c>
      <c r="J16" s="16">
        <v>-3011.76</v>
      </c>
      <c r="K16" s="16">
        <v>0</v>
      </c>
      <c r="L16" s="16">
        <v>-129.99</v>
      </c>
      <c r="M16" s="16">
        <v>0</v>
      </c>
      <c r="N16" s="16">
        <v>-1751.27</v>
      </c>
      <c r="O16" s="16">
        <v>-12.99</v>
      </c>
      <c r="P16" s="16">
        <v>-2170.71</v>
      </c>
      <c r="Q16" s="16">
        <v>-54.74</v>
      </c>
      <c r="R16" s="16">
        <v>0</v>
      </c>
      <c r="S16" s="16">
        <v>-1021.27</v>
      </c>
      <c r="T16" s="16">
        <v>-2435.33</v>
      </c>
      <c r="U16" s="16">
        <v>-2938.6</v>
      </c>
      <c r="V16" s="16">
        <v>-1539.3</v>
      </c>
      <c r="W16" s="16">
        <v>-857.49</v>
      </c>
      <c r="X16" s="16">
        <v>-546.38</v>
      </c>
      <c r="Y16" s="16">
        <v>0</v>
      </c>
      <c r="Z16" s="16">
        <v>-119.58</v>
      </c>
      <c r="AA16" s="16">
        <v>-974.62</v>
      </c>
      <c r="AB16" s="16">
        <v>-1252.43</v>
      </c>
      <c r="AC16" s="16">
        <v>-36.9</v>
      </c>
      <c r="AD16" s="16">
        <v>-117.51</v>
      </c>
      <c r="AE16" s="16">
        <v>-2713.98</v>
      </c>
      <c r="AF16" s="16">
        <v>-97.38</v>
      </c>
      <c r="AG16" s="16">
        <v>-1088.1099999999999</v>
      </c>
      <c r="AH16" s="16">
        <v>-123.72</v>
      </c>
      <c r="AI16" s="16">
        <v>-33.79</v>
      </c>
      <c r="AJ16" s="16">
        <f t="shared" si="0"/>
        <v>-12148.15</v>
      </c>
      <c r="AK16" s="16">
        <f t="shared" si="1"/>
        <v>-11696.389999999998</v>
      </c>
      <c r="AL16" s="16">
        <f t="shared" si="2"/>
        <v>-6438.4400000000005</v>
      </c>
    </row>
    <row r="17" spans="1:38" x14ac:dyDescent="0.2">
      <c r="A17" t="s">
        <v>214</v>
      </c>
      <c r="B17" s="8" t="s">
        <v>213</v>
      </c>
      <c r="C17" s="16">
        <v>-3787.28</v>
      </c>
      <c r="D17" s="16">
        <v>-10069.1</v>
      </c>
      <c r="E17" s="16">
        <v>-7607.8</v>
      </c>
      <c r="F17" s="16">
        <v>-15482.43</v>
      </c>
      <c r="G17" s="16">
        <v>-15185.34</v>
      </c>
      <c r="H17" s="16">
        <v>-11135.92</v>
      </c>
      <c r="I17" s="16">
        <v>-18078.84</v>
      </c>
      <c r="J17" s="16">
        <v>-13436.63</v>
      </c>
      <c r="K17" s="16">
        <v>-12440.48</v>
      </c>
      <c r="L17" s="16">
        <v>-6309.32</v>
      </c>
      <c r="M17" s="16">
        <v>-6586.36</v>
      </c>
      <c r="N17" s="16">
        <v>-5681.16</v>
      </c>
      <c r="O17" s="16">
        <v>-6374.14</v>
      </c>
      <c r="P17" s="16">
        <v>-9003.93</v>
      </c>
      <c r="Q17" s="16">
        <v>-11463.84</v>
      </c>
      <c r="R17" s="16">
        <v>-15484.19</v>
      </c>
      <c r="S17" s="16">
        <v>-11871.02</v>
      </c>
      <c r="T17" s="16">
        <v>-14041.99</v>
      </c>
      <c r="U17" s="16">
        <v>-14981.76</v>
      </c>
      <c r="V17" s="16">
        <v>-16562.11</v>
      </c>
      <c r="W17" s="16">
        <v>-16685.96</v>
      </c>
      <c r="X17" s="16">
        <v>-8290.9699999999993</v>
      </c>
      <c r="Y17" s="16">
        <v>-5388.92</v>
      </c>
      <c r="Z17" s="16">
        <v>-4244.6499999999996</v>
      </c>
      <c r="AA17" s="16">
        <v>-6616.94</v>
      </c>
      <c r="AB17" s="16">
        <v>-7293.43</v>
      </c>
      <c r="AC17" s="16">
        <v>-14444.33</v>
      </c>
      <c r="AD17" s="16">
        <v>-18124.7</v>
      </c>
      <c r="AE17" s="16">
        <v>-16288.23</v>
      </c>
      <c r="AF17" s="16">
        <v>-18403.89</v>
      </c>
      <c r="AG17" s="16">
        <v>-16576.439999999999</v>
      </c>
      <c r="AH17" s="16">
        <v>-15391.4</v>
      </c>
      <c r="AI17" s="16">
        <v>-9117.4500000000007</v>
      </c>
      <c r="AJ17" s="16">
        <f t="shared" si="0"/>
        <v>-125800.65999999999</v>
      </c>
      <c r="AK17" s="16">
        <f t="shared" si="1"/>
        <v>-134393.48000000001</v>
      </c>
      <c r="AL17" s="16">
        <f t="shared" si="2"/>
        <v>-122256.80999999998</v>
      </c>
    </row>
    <row r="18" spans="1:38" x14ac:dyDescent="0.2">
      <c r="A18" t="s">
        <v>216</v>
      </c>
      <c r="B18" s="8" t="s">
        <v>215</v>
      </c>
      <c r="C18" s="16">
        <v>-3578.93</v>
      </c>
      <c r="D18" s="16">
        <v>-6656.3</v>
      </c>
      <c r="E18" s="16">
        <v>-6061.61</v>
      </c>
      <c r="F18" s="16">
        <v>-8929.3799999999992</v>
      </c>
      <c r="G18" s="16">
        <v>-10405.02</v>
      </c>
      <c r="H18" s="16">
        <v>-9081.09</v>
      </c>
      <c r="I18" s="16">
        <v>-10504.23</v>
      </c>
      <c r="J18" s="16">
        <v>-10197.43</v>
      </c>
      <c r="K18" s="16">
        <v>-9427.64</v>
      </c>
      <c r="L18" s="16">
        <v>-6477.54</v>
      </c>
      <c r="M18" s="16">
        <v>-4762.8999999999996</v>
      </c>
      <c r="N18" s="16">
        <v>-4339.1499999999996</v>
      </c>
      <c r="O18" s="16">
        <v>-5489.53</v>
      </c>
      <c r="P18" s="16">
        <v>-5496.33</v>
      </c>
      <c r="Q18" s="16">
        <v>-8825.06</v>
      </c>
      <c r="R18" s="16">
        <v>-9968.94</v>
      </c>
      <c r="S18" s="16">
        <v>-11182.73</v>
      </c>
      <c r="T18" s="16">
        <v>-11185.3</v>
      </c>
      <c r="U18" s="16">
        <v>-10549.68</v>
      </c>
      <c r="V18" s="16">
        <v>-9918.64</v>
      </c>
      <c r="W18" s="16">
        <v>-10370.61</v>
      </c>
      <c r="X18" s="16">
        <v>-7046.28</v>
      </c>
      <c r="Y18" s="16">
        <v>-4818.17</v>
      </c>
      <c r="Z18" s="16">
        <v>-3861.39</v>
      </c>
      <c r="AA18" s="16">
        <v>-6091.83</v>
      </c>
      <c r="AB18" s="16">
        <v>-6408.44</v>
      </c>
      <c r="AC18" s="16">
        <v>-8623.7199999999993</v>
      </c>
      <c r="AD18" s="16">
        <v>-10847.4</v>
      </c>
      <c r="AE18" s="16">
        <v>-13844.71</v>
      </c>
      <c r="AF18" s="16">
        <v>-14671.17</v>
      </c>
      <c r="AG18" s="16">
        <v>-13012.22</v>
      </c>
      <c r="AH18" s="16">
        <v>-11299.53</v>
      </c>
      <c r="AI18" s="16">
        <v>-7689.42</v>
      </c>
      <c r="AJ18" s="16">
        <f t="shared" si="0"/>
        <v>-90421.219999999987</v>
      </c>
      <c r="AK18" s="16">
        <f t="shared" si="1"/>
        <v>-98712.659999999989</v>
      </c>
      <c r="AL18" s="16">
        <f t="shared" si="2"/>
        <v>-92488.439999999988</v>
      </c>
    </row>
    <row r="19" spans="1:38" x14ac:dyDescent="0.2">
      <c r="A19" s="17" t="s">
        <v>218</v>
      </c>
      <c r="B19" s="17" t="s">
        <v>217</v>
      </c>
      <c r="C19" s="18">
        <f t="shared" ref="C19:AI19" si="6">C14+C15+C16+C17+C18</f>
        <v>-52114.369999999995</v>
      </c>
      <c r="D19" s="18">
        <f t="shared" si="6"/>
        <v>-60513.05</v>
      </c>
      <c r="E19" s="18">
        <f t="shared" si="6"/>
        <v>-105974.47</v>
      </c>
      <c r="F19" s="18">
        <f t="shared" si="6"/>
        <v>-240196.69999999998</v>
      </c>
      <c r="G19" s="18">
        <f t="shared" si="6"/>
        <v>-285359.91000000003</v>
      </c>
      <c r="H19" s="18">
        <f t="shared" si="6"/>
        <v>-248490.96</v>
      </c>
      <c r="I19" s="18">
        <f t="shared" si="6"/>
        <v>-263412.40999999997</v>
      </c>
      <c r="J19" s="18">
        <f t="shared" si="6"/>
        <v>-225106.87</v>
      </c>
      <c r="K19" s="18">
        <f t="shared" si="6"/>
        <v>-142543.83000000002</v>
      </c>
      <c r="L19" s="18">
        <f t="shared" si="6"/>
        <v>-111682.52999999998</v>
      </c>
      <c r="M19" s="18">
        <f t="shared" si="6"/>
        <v>-92909.239999999991</v>
      </c>
      <c r="N19" s="18">
        <f t="shared" si="6"/>
        <v>-90016.8</v>
      </c>
      <c r="O19" s="18">
        <f t="shared" si="6"/>
        <v>-53672.329999999994</v>
      </c>
      <c r="P19" s="18">
        <f t="shared" si="6"/>
        <v>-51942.96</v>
      </c>
      <c r="Q19" s="18">
        <f t="shared" si="6"/>
        <v>-80233.789999999994</v>
      </c>
      <c r="R19" s="18">
        <f t="shared" si="6"/>
        <v>-251039.85</v>
      </c>
      <c r="S19" s="18">
        <f t="shared" si="6"/>
        <v>-271059.42</v>
      </c>
      <c r="T19" s="18">
        <f t="shared" si="6"/>
        <v>-271169.65999999997</v>
      </c>
      <c r="U19" s="18">
        <f t="shared" si="6"/>
        <v>-243745.96</v>
      </c>
      <c r="V19" s="18">
        <f t="shared" si="6"/>
        <v>-238610.71000000002</v>
      </c>
      <c r="W19" s="18">
        <f t="shared" si="6"/>
        <v>-173065.24</v>
      </c>
      <c r="X19" s="18">
        <f t="shared" si="6"/>
        <v>-99599.38</v>
      </c>
      <c r="Y19" s="18">
        <f t="shared" si="6"/>
        <v>-92870.58</v>
      </c>
      <c r="Z19" s="18">
        <f t="shared" si="6"/>
        <v>-63336.280000000006</v>
      </c>
      <c r="AA19" s="18">
        <f t="shared" si="6"/>
        <v>-70706.810000000012</v>
      </c>
      <c r="AB19" s="18">
        <f t="shared" si="6"/>
        <v>-65090.25</v>
      </c>
      <c r="AC19" s="18">
        <f t="shared" si="6"/>
        <v>-126717.22</v>
      </c>
      <c r="AD19" s="18">
        <f t="shared" si="6"/>
        <v>-228424.52000000002</v>
      </c>
      <c r="AE19" s="18">
        <f t="shared" si="6"/>
        <v>-324747.34000000003</v>
      </c>
      <c r="AF19" s="18">
        <f t="shared" si="6"/>
        <v>-298517.99</v>
      </c>
      <c r="AG19" s="18">
        <f t="shared" si="6"/>
        <v>-258922.63999999998</v>
      </c>
      <c r="AH19" s="18">
        <f t="shared" si="6"/>
        <v>-248025.84999999998</v>
      </c>
      <c r="AI19" s="18">
        <f t="shared" si="6"/>
        <v>-143832.72</v>
      </c>
      <c r="AJ19" s="18">
        <f t="shared" si="0"/>
        <v>-1918321.14</v>
      </c>
      <c r="AK19" s="18">
        <f t="shared" si="1"/>
        <v>-1890346.16</v>
      </c>
      <c r="AL19" s="18">
        <f t="shared" si="2"/>
        <v>-1764985.34</v>
      </c>
    </row>
    <row r="20" spans="1:38" x14ac:dyDescent="0.2">
      <c r="A20" s="17" t="s">
        <v>220</v>
      </c>
      <c r="B20" s="17" t="s">
        <v>219</v>
      </c>
      <c r="C20" s="18">
        <f t="shared" ref="C20:AI20" si="7">C13+C19</f>
        <v>29519.809999999998</v>
      </c>
      <c r="D20" s="18">
        <f t="shared" si="7"/>
        <v>41972.650000000009</v>
      </c>
      <c r="E20" s="18">
        <f t="shared" si="7"/>
        <v>61117.049999999988</v>
      </c>
      <c r="F20" s="18">
        <f t="shared" si="7"/>
        <v>117389.60000000006</v>
      </c>
      <c r="G20" s="18">
        <f t="shared" si="7"/>
        <v>145731.01</v>
      </c>
      <c r="H20" s="18">
        <f t="shared" si="7"/>
        <v>119314.38000000009</v>
      </c>
      <c r="I20" s="18">
        <f t="shared" si="7"/>
        <v>139402.5</v>
      </c>
      <c r="J20" s="18">
        <f t="shared" si="7"/>
        <v>117652.12</v>
      </c>
      <c r="K20" s="18">
        <f t="shared" si="7"/>
        <v>85241.359999999986</v>
      </c>
      <c r="L20" s="18">
        <f t="shared" si="7"/>
        <v>64483.430000000008</v>
      </c>
      <c r="M20" s="18">
        <f t="shared" si="7"/>
        <v>48589.790000000008</v>
      </c>
      <c r="N20" s="18">
        <f t="shared" si="7"/>
        <v>45801.299999999974</v>
      </c>
      <c r="O20" s="18">
        <f t="shared" si="7"/>
        <v>35459.140000000007</v>
      </c>
      <c r="P20" s="18">
        <f t="shared" si="7"/>
        <v>35305.19000000001</v>
      </c>
      <c r="Q20" s="18">
        <f t="shared" si="7"/>
        <v>58343.759999999995</v>
      </c>
      <c r="R20" s="18">
        <f t="shared" si="7"/>
        <v>125123.45999999999</v>
      </c>
      <c r="S20" s="18">
        <f t="shared" si="7"/>
        <v>139543.57</v>
      </c>
      <c r="T20" s="18">
        <f t="shared" si="7"/>
        <v>138146.26000000007</v>
      </c>
      <c r="U20" s="18">
        <f t="shared" si="7"/>
        <v>124316.13000000003</v>
      </c>
      <c r="V20" s="18">
        <f t="shared" si="7"/>
        <v>127819.97999999998</v>
      </c>
      <c r="W20" s="18">
        <f t="shared" si="7"/>
        <v>102568.77999999997</v>
      </c>
      <c r="X20" s="18">
        <f t="shared" si="7"/>
        <v>62178.819999999978</v>
      </c>
      <c r="Y20" s="18">
        <f t="shared" si="7"/>
        <v>48525.650000000009</v>
      </c>
      <c r="Z20" s="18">
        <f t="shared" si="7"/>
        <v>35119.829999999994</v>
      </c>
      <c r="AA20" s="18">
        <f t="shared" si="7"/>
        <v>45732.859999999986</v>
      </c>
      <c r="AB20" s="18">
        <f t="shared" si="7"/>
        <v>41997.560000000012</v>
      </c>
      <c r="AC20" s="18">
        <f t="shared" si="7"/>
        <v>77144.75</v>
      </c>
      <c r="AD20" s="18">
        <f t="shared" si="7"/>
        <v>120044.72999999998</v>
      </c>
      <c r="AE20" s="18">
        <f t="shared" si="7"/>
        <v>166862.74</v>
      </c>
      <c r="AF20" s="18">
        <f t="shared" si="7"/>
        <v>160844.70000000001</v>
      </c>
      <c r="AG20" s="18">
        <f t="shared" si="7"/>
        <v>143749.56000000003</v>
      </c>
      <c r="AH20" s="18">
        <f t="shared" si="7"/>
        <v>133165.88000000006</v>
      </c>
      <c r="AI20" s="18">
        <f t="shared" si="7"/>
        <v>83255.939999999973</v>
      </c>
      <c r="AJ20" s="18">
        <f t="shared" si="0"/>
        <v>1016215.0000000002</v>
      </c>
      <c r="AK20" s="18">
        <f t="shared" si="1"/>
        <v>1032450.57</v>
      </c>
      <c r="AL20" s="18">
        <f t="shared" si="2"/>
        <v>972798.72</v>
      </c>
    </row>
    <row r="21" spans="1:38" x14ac:dyDescent="0.2">
      <c r="A21" t="s">
        <v>222</v>
      </c>
      <c r="B21" s="8" t="s">
        <v>221</v>
      </c>
      <c r="C21" s="16">
        <v>-25102</v>
      </c>
      <c r="D21" s="16">
        <v>-21521.65</v>
      </c>
      <c r="E21" s="16">
        <v>-26373.82</v>
      </c>
      <c r="F21" s="16">
        <v>-38906.53</v>
      </c>
      <c r="G21" s="16">
        <v>-37687.72</v>
      </c>
      <c r="H21" s="16">
        <v>-37204.94</v>
      </c>
      <c r="I21" s="16">
        <v>-39319.379999999997</v>
      </c>
      <c r="J21" s="16">
        <v>-41193.919999999998</v>
      </c>
      <c r="K21" s="16">
        <v>-37563.29</v>
      </c>
      <c r="L21" s="16">
        <v>-32348.89</v>
      </c>
      <c r="M21" s="16">
        <v>-28943.01</v>
      </c>
      <c r="N21" s="16">
        <v>-26978.51</v>
      </c>
      <c r="O21" s="16">
        <v>-27839.13</v>
      </c>
      <c r="P21" s="16">
        <v>-24296.44</v>
      </c>
      <c r="Q21" s="16">
        <v>-30117.87</v>
      </c>
      <c r="R21" s="16">
        <v>-41581.980000000003</v>
      </c>
      <c r="S21" s="16">
        <v>-40504.25</v>
      </c>
      <c r="T21" s="16">
        <v>-42251.7</v>
      </c>
      <c r="U21" s="16">
        <v>-44801.279999999999</v>
      </c>
      <c r="V21" s="16">
        <v>-45130.86</v>
      </c>
      <c r="W21" s="16">
        <v>-42564.59</v>
      </c>
      <c r="X21" s="16">
        <v>-32300.62</v>
      </c>
      <c r="Y21" s="16">
        <v>-32264.41</v>
      </c>
      <c r="Z21" s="16">
        <v>-33111.33</v>
      </c>
      <c r="AA21" s="16">
        <v>-32616.04</v>
      </c>
      <c r="AB21" s="16">
        <v>-28227.27</v>
      </c>
      <c r="AC21" s="16">
        <v>-30525.78</v>
      </c>
      <c r="AD21" s="16">
        <v>-45741.47</v>
      </c>
      <c r="AE21" s="16">
        <v>-46376.03</v>
      </c>
      <c r="AF21" s="16">
        <v>-45938.400000000001</v>
      </c>
      <c r="AG21" s="16">
        <v>-49790.13</v>
      </c>
      <c r="AH21" s="16">
        <v>-49109.38</v>
      </c>
      <c r="AI21" s="16">
        <v>-48506.97</v>
      </c>
      <c r="AJ21" s="16">
        <f t="shared" si="0"/>
        <v>-393143.66000000003</v>
      </c>
      <c r="AK21" s="16">
        <f t="shared" si="1"/>
        <v>-436764.45999999996</v>
      </c>
      <c r="AL21" s="16">
        <f t="shared" si="2"/>
        <v>-376831.47</v>
      </c>
    </row>
    <row r="22" spans="1:38" x14ac:dyDescent="0.2">
      <c r="A22" t="s">
        <v>224</v>
      </c>
      <c r="B22" s="8" t="s">
        <v>223</v>
      </c>
      <c r="C22" s="16">
        <v>-19000</v>
      </c>
      <c r="D22" s="16">
        <v>-19000</v>
      </c>
      <c r="E22" s="16">
        <v>-19000</v>
      </c>
      <c r="F22" s="16">
        <v>-19000</v>
      </c>
      <c r="G22" s="16">
        <v>-19000</v>
      </c>
      <c r="H22" s="16">
        <v>-19000</v>
      </c>
      <c r="I22" s="16">
        <v>-19000</v>
      </c>
      <c r="J22" s="16">
        <v>-19000</v>
      </c>
      <c r="K22" s="16">
        <v>-19000</v>
      </c>
      <c r="L22" s="16">
        <v>-19000</v>
      </c>
      <c r="M22" s="16">
        <v>-19000</v>
      </c>
      <c r="N22" s="16">
        <v>-19000</v>
      </c>
      <c r="O22" s="16">
        <v>-19570</v>
      </c>
      <c r="P22" s="16">
        <v>-19570</v>
      </c>
      <c r="Q22" s="16">
        <v>-19570</v>
      </c>
      <c r="R22" s="16">
        <v>-19570</v>
      </c>
      <c r="S22" s="16">
        <v>-19570</v>
      </c>
      <c r="T22" s="16">
        <v>-19570</v>
      </c>
      <c r="U22" s="16">
        <v>-19570</v>
      </c>
      <c r="V22" s="16">
        <v>-19570</v>
      </c>
      <c r="W22" s="16">
        <v>-19570</v>
      </c>
      <c r="X22" s="16">
        <v>-19570</v>
      </c>
      <c r="Y22" s="16">
        <v>-19570</v>
      </c>
      <c r="Z22" s="16">
        <v>-19570</v>
      </c>
      <c r="AA22" s="16">
        <v>-20157.099999999999</v>
      </c>
      <c r="AB22" s="16">
        <v>-20157.099999999999</v>
      </c>
      <c r="AC22" s="16">
        <v>-20157.099999999999</v>
      </c>
      <c r="AD22" s="16">
        <v>-20157.099999999999</v>
      </c>
      <c r="AE22" s="16">
        <v>-20157.099999999999</v>
      </c>
      <c r="AF22" s="16">
        <v>-20157.099999999999</v>
      </c>
      <c r="AG22" s="16">
        <v>-20157.099999999999</v>
      </c>
      <c r="AH22" s="16">
        <v>-20157.099999999999</v>
      </c>
      <c r="AI22" s="16">
        <v>-20157.099999999999</v>
      </c>
      <c r="AJ22" s="16">
        <f t="shared" si="0"/>
        <v>-228000</v>
      </c>
      <c r="AK22" s="16">
        <f t="shared" si="1"/>
        <v>-234840</v>
      </c>
      <c r="AL22" s="16">
        <f t="shared" si="2"/>
        <v>-181413.90000000002</v>
      </c>
    </row>
    <row r="23" spans="1:38" x14ac:dyDescent="0.2">
      <c r="A23" t="s">
        <v>226</v>
      </c>
      <c r="B23" s="8" t="s">
        <v>225</v>
      </c>
      <c r="C23" s="16">
        <v>-2360.36</v>
      </c>
      <c r="D23" s="16">
        <v>-2057.4699999999998</v>
      </c>
      <c r="E23" s="16">
        <v>-2121.12</v>
      </c>
      <c r="F23" s="16">
        <v>-1632.17</v>
      </c>
      <c r="G23" s="16">
        <v>-1351.04</v>
      </c>
      <c r="H23" s="16">
        <v>-1179.2</v>
      </c>
      <c r="I23" s="16">
        <v>-1236.03</v>
      </c>
      <c r="J23" s="16">
        <v>-1172.67</v>
      </c>
      <c r="K23" s="16">
        <v>-1082.9100000000001</v>
      </c>
      <c r="L23" s="16">
        <v>-1527.96</v>
      </c>
      <c r="M23" s="16">
        <v>-2061.48</v>
      </c>
      <c r="N23" s="16">
        <v>-2108.61</v>
      </c>
      <c r="O23" s="16">
        <v>-2040.7</v>
      </c>
      <c r="P23" s="16">
        <v>-2384.02</v>
      </c>
      <c r="Q23" s="16">
        <v>-1802.21</v>
      </c>
      <c r="R23" s="16">
        <v>-1664.26</v>
      </c>
      <c r="S23" s="16">
        <v>-1194.52</v>
      </c>
      <c r="T23" s="16">
        <v>-1253.53</v>
      </c>
      <c r="U23" s="16">
        <v>-1043.81</v>
      </c>
      <c r="V23" s="16">
        <v>-1179.75</v>
      </c>
      <c r="W23" s="16">
        <v>-1181.24</v>
      </c>
      <c r="X23" s="16">
        <v>-1509.15</v>
      </c>
      <c r="Y23" s="16">
        <v>-1811.76</v>
      </c>
      <c r="Z23" s="16">
        <v>-2234.5500000000002</v>
      </c>
      <c r="AA23" s="16">
        <v>-2143.58</v>
      </c>
      <c r="AB23" s="16">
        <v>-2034.96</v>
      </c>
      <c r="AC23" s="16">
        <v>-1914.08</v>
      </c>
      <c r="AD23" s="16">
        <v>-1717.99</v>
      </c>
      <c r="AE23" s="16">
        <v>-1187.1099999999999</v>
      </c>
      <c r="AF23" s="16">
        <v>-1267.6500000000001</v>
      </c>
      <c r="AG23" s="16">
        <v>-1169.3699999999999</v>
      </c>
      <c r="AH23" s="16">
        <v>-1052.74</v>
      </c>
      <c r="AI23" s="16">
        <v>-1209.92</v>
      </c>
      <c r="AJ23" s="16">
        <f t="shared" si="0"/>
        <v>-19891.02</v>
      </c>
      <c r="AK23" s="16">
        <f t="shared" si="1"/>
        <v>-19299.5</v>
      </c>
      <c r="AL23" s="16">
        <f t="shared" si="2"/>
        <v>-13697.399999999998</v>
      </c>
    </row>
    <row r="24" spans="1:38" x14ac:dyDescent="0.2">
      <c r="A24" t="s">
        <v>228</v>
      </c>
      <c r="B24" s="8" t="s">
        <v>227</v>
      </c>
      <c r="C24" s="16">
        <v>-4417.58</v>
      </c>
      <c r="D24" s="16">
        <v>-4440.1899999999996</v>
      </c>
      <c r="E24" s="16">
        <v>-5347</v>
      </c>
      <c r="F24" s="16">
        <v>-7172.07</v>
      </c>
      <c r="G24" s="16">
        <v>-8346.6200000000008</v>
      </c>
      <c r="H24" s="16">
        <v>-8913</v>
      </c>
      <c r="I24" s="16">
        <v>-7877.12</v>
      </c>
      <c r="J24" s="16">
        <v>-7778.9</v>
      </c>
      <c r="K24" s="16">
        <v>-6534.47</v>
      </c>
      <c r="L24" s="16">
        <v>-5064.0600000000004</v>
      </c>
      <c r="M24" s="16">
        <v>-5127.59</v>
      </c>
      <c r="N24" s="16">
        <v>-4645.01</v>
      </c>
      <c r="O24" s="16">
        <v>-4851.59</v>
      </c>
      <c r="P24" s="16">
        <v>-4933.17</v>
      </c>
      <c r="Q24" s="16">
        <v>-5633.76</v>
      </c>
      <c r="R24" s="16">
        <v>-6684.59</v>
      </c>
      <c r="S24" s="16">
        <v>-8964.85</v>
      </c>
      <c r="T24" s="16">
        <v>-10034.82</v>
      </c>
      <c r="U24" s="16">
        <v>-8600.36</v>
      </c>
      <c r="V24" s="16">
        <v>-7976.13</v>
      </c>
      <c r="W24" s="16">
        <v>-6644.2</v>
      </c>
      <c r="X24" s="16">
        <v>-5569.78</v>
      </c>
      <c r="Y24" s="16">
        <v>-4786.8</v>
      </c>
      <c r="Z24" s="16">
        <v>-4865.7299999999996</v>
      </c>
      <c r="AA24" s="16">
        <v>-4745.1499999999996</v>
      </c>
      <c r="AB24" s="16">
        <v>-5122.6499999999996</v>
      </c>
      <c r="AC24" s="16">
        <v>-6188.17</v>
      </c>
      <c r="AD24" s="16">
        <v>-7747.15</v>
      </c>
      <c r="AE24" s="16">
        <v>-9846.7000000000007</v>
      </c>
      <c r="AF24" s="16">
        <v>-9592.1</v>
      </c>
      <c r="AG24" s="16">
        <v>-8651.76</v>
      </c>
      <c r="AH24" s="16">
        <v>-7808.07</v>
      </c>
      <c r="AI24" s="16">
        <v>-7609.47</v>
      </c>
      <c r="AJ24" s="16">
        <f t="shared" si="0"/>
        <v>-75663.61</v>
      </c>
      <c r="AK24" s="16">
        <f t="shared" si="1"/>
        <v>-79545.78</v>
      </c>
      <c r="AL24" s="16">
        <f t="shared" si="2"/>
        <v>-67311.22</v>
      </c>
    </row>
    <row r="25" spans="1:38" x14ac:dyDescent="0.2">
      <c r="A25" t="s">
        <v>230</v>
      </c>
      <c r="B25" s="8" t="s">
        <v>229</v>
      </c>
      <c r="C25" s="16">
        <v>-6146.99</v>
      </c>
      <c r="D25" s="16">
        <v>-6017.69</v>
      </c>
      <c r="E25" s="16">
        <v>-6246.87</v>
      </c>
      <c r="F25" s="16">
        <v>-5887.29</v>
      </c>
      <c r="G25" s="16">
        <v>-6104.87</v>
      </c>
      <c r="H25" s="16">
        <v>-6072.98</v>
      </c>
      <c r="I25" s="16">
        <v>-6314.98</v>
      </c>
      <c r="J25" s="16">
        <v>-5929.35</v>
      </c>
      <c r="K25" s="16">
        <v>-5927.33</v>
      </c>
      <c r="L25" s="16">
        <v>-6081.32</v>
      </c>
      <c r="M25" s="16">
        <v>-6046.43</v>
      </c>
      <c r="N25" s="16">
        <v>-6019.16</v>
      </c>
      <c r="O25" s="16">
        <v>-5916.13</v>
      </c>
      <c r="P25" s="16">
        <v>-6159.29</v>
      </c>
      <c r="Q25" s="16">
        <v>-6207.68</v>
      </c>
      <c r="R25" s="16">
        <v>-6144.23</v>
      </c>
      <c r="S25" s="16">
        <v>-6131.09</v>
      </c>
      <c r="T25" s="16">
        <v>-6365.19</v>
      </c>
      <c r="U25" s="16">
        <v>-6082.22</v>
      </c>
      <c r="V25" s="16">
        <v>-6196.03</v>
      </c>
      <c r="W25" s="16">
        <v>-6161.65</v>
      </c>
      <c r="X25" s="16">
        <v>-6005.17</v>
      </c>
      <c r="Y25" s="16">
        <v>-6282.06</v>
      </c>
      <c r="Z25" s="16">
        <v>-6257.43</v>
      </c>
      <c r="AA25" s="16">
        <v>-6324.12</v>
      </c>
      <c r="AB25" s="16">
        <v>-6219.68</v>
      </c>
      <c r="AC25" s="16">
        <v>-6170.09</v>
      </c>
      <c r="AD25" s="16">
        <v>-6432.14</v>
      </c>
      <c r="AE25" s="16">
        <v>-6130.06</v>
      </c>
      <c r="AF25" s="16">
        <v>-6253.67</v>
      </c>
      <c r="AG25" s="16">
        <v>-6402.39</v>
      </c>
      <c r="AH25" s="16">
        <v>-6415.82</v>
      </c>
      <c r="AI25" s="16">
        <v>-6185.8</v>
      </c>
      <c r="AJ25" s="16">
        <f t="shared" si="0"/>
        <v>-72795.260000000009</v>
      </c>
      <c r="AK25" s="16">
        <f t="shared" si="1"/>
        <v>-73908.170000000013</v>
      </c>
      <c r="AL25" s="16">
        <f t="shared" si="2"/>
        <v>-56533.770000000004</v>
      </c>
    </row>
    <row r="26" spans="1:38" x14ac:dyDescent="0.2">
      <c r="A26" t="s">
        <v>232</v>
      </c>
      <c r="B26" s="8" t="s">
        <v>231</v>
      </c>
      <c r="C26" s="16">
        <v>-5956.58</v>
      </c>
      <c r="D26" s="16">
        <v>-7607.8</v>
      </c>
      <c r="E26" s="16">
        <v>-9502.5400000000009</v>
      </c>
      <c r="F26" s="16">
        <v>-4477.1899999999996</v>
      </c>
      <c r="G26" s="16">
        <v>-2947.76</v>
      </c>
      <c r="H26" s="16">
        <v>-5840.78</v>
      </c>
      <c r="I26" s="16">
        <v>-8608.7199999999993</v>
      </c>
      <c r="J26" s="16">
        <v>-8031.82</v>
      </c>
      <c r="K26" s="16">
        <v>-6709.54</v>
      </c>
      <c r="L26" s="16">
        <v>-3295.93</v>
      </c>
      <c r="M26" s="16">
        <v>-3196.6</v>
      </c>
      <c r="N26" s="16">
        <v>-4718.29</v>
      </c>
      <c r="O26" s="16">
        <v>-3133.22</v>
      </c>
      <c r="P26" s="16">
        <v>-1189.19</v>
      </c>
      <c r="Q26" s="16">
        <v>-2366.7800000000002</v>
      </c>
      <c r="R26" s="16">
        <v>-4563.33</v>
      </c>
      <c r="S26" s="16">
        <v>-6477.73</v>
      </c>
      <c r="T26" s="16">
        <v>-9177.9</v>
      </c>
      <c r="U26" s="16">
        <v>-9809.94</v>
      </c>
      <c r="V26" s="16">
        <v>-7132.61</v>
      </c>
      <c r="W26" s="16">
        <v>-6990.8</v>
      </c>
      <c r="X26" s="16">
        <v>-5955.96</v>
      </c>
      <c r="Y26" s="16">
        <v>-3384.49</v>
      </c>
      <c r="Z26" s="16">
        <v>-3579.12</v>
      </c>
      <c r="AA26" s="16">
        <v>-2645.66</v>
      </c>
      <c r="AB26" s="16">
        <v>-5130.0600000000004</v>
      </c>
      <c r="AC26" s="16">
        <v>-9283.93</v>
      </c>
      <c r="AD26" s="16">
        <v>-5240.97</v>
      </c>
      <c r="AE26" s="16">
        <v>-4274.93</v>
      </c>
      <c r="AF26" s="16">
        <v>-6694.41</v>
      </c>
      <c r="AG26" s="16">
        <v>-7957.03</v>
      </c>
      <c r="AH26" s="16">
        <v>-7287.39</v>
      </c>
      <c r="AI26" s="16">
        <v>-7160.23</v>
      </c>
      <c r="AJ26" s="16">
        <f t="shared" si="0"/>
        <v>-70893.55</v>
      </c>
      <c r="AK26" s="16">
        <f t="shared" si="1"/>
        <v>-63761.070000000007</v>
      </c>
      <c r="AL26" s="16">
        <f t="shared" si="2"/>
        <v>-55674.61</v>
      </c>
    </row>
    <row r="27" spans="1:38" x14ac:dyDescent="0.2">
      <c r="A27" t="s">
        <v>234</v>
      </c>
      <c r="B27" s="8" t="s">
        <v>233</v>
      </c>
      <c r="C27" s="16">
        <v>-2161.75</v>
      </c>
      <c r="D27" s="16">
        <v>-2113.77</v>
      </c>
      <c r="E27" s="16">
        <v>-3275.96</v>
      </c>
      <c r="F27" s="16">
        <v>-7632.83</v>
      </c>
      <c r="G27" s="16">
        <v>-8788.26</v>
      </c>
      <c r="H27" s="16">
        <v>-7689.63</v>
      </c>
      <c r="I27" s="16">
        <v>-7224.69</v>
      </c>
      <c r="J27" s="16">
        <v>-6928.03</v>
      </c>
      <c r="K27" s="16">
        <v>-4804.57</v>
      </c>
      <c r="L27" s="16">
        <v>-3961.19</v>
      </c>
      <c r="M27" s="16">
        <v>-3093.87</v>
      </c>
      <c r="N27" s="16">
        <v>-2907.67</v>
      </c>
      <c r="O27" s="16">
        <v>-2073.35</v>
      </c>
      <c r="P27" s="16">
        <v>-2072.9299999999998</v>
      </c>
      <c r="Q27" s="16">
        <v>-2794.07</v>
      </c>
      <c r="R27" s="16">
        <v>-6900.19</v>
      </c>
      <c r="S27" s="16">
        <v>-7434.83</v>
      </c>
      <c r="T27" s="16">
        <v>-8377.4699999999993</v>
      </c>
      <c r="U27" s="16">
        <v>-6516.86</v>
      </c>
      <c r="V27" s="16">
        <v>-6846.94</v>
      </c>
      <c r="W27" s="16">
        <v>-5749.23</v>
      </c>
      <c r="X27" s="16">
        <v>-3194.27</v>
      </c>
      <c r="Y27" s="16">
        <v>-3322.19</v>
      </c>
      <c r="Z27" s="16">
        <v>-2152.27</v>
      </c>
      <c r="AA27" s="16">
        <v>-2678.49</v>
      </c>
      <c r="AB27" s="16">
        <v>-2589.09</v>
      </c>
      <c r="AC27" s="16">
        <v>-4353.3500000000004</v>
      </c>
      <c r="AD27" s="16">
        <v>-6431.2</v>
      </c>
      <c r="AE27" s="16">
        <v>-8815.2800000000007</v>
      </c>
      <c r="AF27" s="16">
        <v>-8672.5</v>
      </c>
      <c r="AG27" s="16">
        <v>-8182.57</v>
      </c>
      <c r="AH27" s="16">
        <v>-7461.65</v>
      </c>
      <c r="AI27" s="16">
        <v>-4737.63</v>
      </c>
      <c r="AJ27" s="16">
        <f t="shared" si="0"/>
        <v>-60582.22</v>
      </c>
      <c r="AK27" s="16">
        <f t="shared" si="1"/>
        <v>-57434.600000000006</v>
      </c>
      <c r="AL27" s="16">
        <f t="shared" si="2"/>
        <v>-53921.760000000002</v>
      </c>
    </row>
    <row r="28" spans="1:38" x14ac:dyDescent="0.2">
      <c r="A28" t="s">
        <v>236</v>
      </c>
      <c r="B28" s="8" t="s">
        <v>235</v>
      </c>
      <c r="C28" s="16">
        <v>-3495.79</v>
      </c>
      <c r="D28" s="16">
        <v>-4307.7700000000004</v>
      </c>
      <c r="E28" s="16">
        <v>-5953.43</v>
      </c>
      <c r="F28" s="16">
        <v>-6289.34</v>
      </c>
      <c r="G28" s="16">
        <v>-4850.16</v>
      </c>
      <c r="H28" s="16">
        <v>-3539.18</v>
      </c>
      <c r="I28" s="16">
        <v>-3168.32</v>
      </c>
      <c r="J28" s="16">
        <v>-3244.49</v>
      </c>
      <c r="K28" s="16">
        <v>-3608.09</v>
      </c>
      <c r="L28" s="16">
        <v>-3807.48</v>
      </c>
      <c r="M28" s="16">
        <v>-3702.76</v>
      </c>
      <c r="N28" s="16">
        <v>-3896.09</v>
      </c>
      <c r="O28" s="16">
        <v>-4268.79</v>
      </c>
      <c r="P28" s="16">
        <v>-4351.2700000000004</v>
      </c>
      <c r="Q28" s="16">
        <v>-4234.1899999999996</v>
      </c>
      <c r="R28" s="16">
        <v>-3658.83</v>
      </c>
      <c r="S28" s="16">
        <v>-2730.71</v>
      </c>
      <c r="T28" s="16">
        <v>-2365.2800000000002</v>
      </c>
      <c r="U28" s="16">
        <v>-2627.56</v>
      </c>
      <c r="V28" s="16">
        <v>-2768.35</v>
      </c>
      <c r="W28" s="16">
        <v>-2870.79</v>
      </c>
      <c r="X28" s="16">
        <v>-3436.66</v>
      </c>
      <c r="Y28" s="16">
        <v>-3808.9</v>
      </c>
      <c r="Z28" s="16">
        <v>-3985.98</v>
      </c>
      <c r="AA28" s="16">
        <v>-4180.88</v>
      </c>
      <c r="AB28" s="16">
        <v>-4626.7299999999996</v>
      </c>
      <c r="AC28" s="16">
        <v>-5785.88</v>
      </c>
      <c r="AD28" s="16">
        <v>-6213.27</v>
      </c>
      <c r="AE28" s="16">
        <v>-4975.17</v>
      </c>
      <c r="AF28" s="16">
        <v>-3610.91</v>
      </c>
      <c r="AG28" s="16">
        <v>-3098.35</v>
      </c>
      <c r="AH28" s="16">
        <v>-2900.67</v>
      </c>
      <c r="AI28" s="16">
        <v>-3100.47</v>
      </c>
      <c r="AJ28" s="16">
        <f t="shared" si="0"/>
        <v>-49862.900000000009</v>
      </c>
      <c r="AK28" s="16">
        <f t="shared" si="1"/>
        <v>-41107.310000000005</v>
      </c>
      <c r="AL28" s="16">
        <f t="shared" si="2"/>
        <v>-38492.33</v>
      </c>
    </row>
    <row r="29" spans="1:38" x14ac:dyDescent="0.2">
      <c r="A29" s="17" t="s">
        <v>238</v>
      </c>
      <c r="B29" s="17" t="s">
        <v>237</v>
      </c>
      <c r="C29" s="18">
        <f t="shared" ref="C29:AI29" si="8">C21+C22+C23+C24+C25+C26+C27+C28</f>
        <v>-68641.05</v>
      </c>
      <c r="D29" s="18">
        <f t="shared" si="8"/>
        <v>-67066.340000000011</v>
      </c>
      <c r="E29" s="18">
        <f t="shared" si="8"/>
        <v>-77820.74000000002</v>
      </c>
      <c r="F29" s="18">
        <f t="shared" si="8"/>
        <v>-90997.419999999984</v>
      </c>
      <c r="G29" s="18">
        <f t="shared" si="8"/>
        <v>-89076.43</v>
      </c>
      <c r="H29" s="18">
        <f t="shared" si="8"/>
        <v>-89439.709999999992</v>
      </c>
      <c r="I29" s="18">
        <f t="shared" si="8"/>
        <v>-92749.24</v>
      </c>
      <c r="J29" s="18">
        <f t="shared" si="8"/>
        <v>-93279.180000000008</v>
      </c>
      <c r="K29" s="18">
        <f t="shared" si="8"/>
        <v>-85230.199999999983</v>
      </c>
      <c r="L29" s="18">
        <f t="shared" si="8"/>
        <v>-75086.829999999987</v>
      </c>
      <c r="M29" s="18">
        <f t="shared" si="8"/>
        <v>-71171.739999999991</v>
      </c>
      <c r="N29" s="18">
        <f t="shared" si="8"/>
        <v>-70273.34</v>
      </c>
      <c r="O29" s="18">
        <f t="shared" si="8"/>
        <v>-69692.909999999989</v>
      </c>
      <c r="P29" s="18">
        <f t="shared" si="8"/>
        <v>-64956.31</v>
      </c>
      <c r="Q29" s="18">
        <f t="shared" si="8"/>
        <v>-72726.560000000012</v>
      </c>
      <c r="R29" s="18">
        <f t="shared" si="8"/>
        <v>-90767.41</v>
      </c>
      <c r="S29" s="18">
        <f t="shared" si="8"/>
        <v>-93007.98</v>
      </c>
      <c r="T29" s="18">
        <f t="shared" si="8"/>
        <v>-99395.889999999985</v>
      </c>
      <c r="U29" s="18">
        <f t="shared" si="8"/>
        <v>-99052.03</v>
      </c>
      <c r="V29" s="18">
        <f t="shared" si="8"/>
        <v>-96800.670000000013</v>
      </c>
      <c r="W29" s="18">
        <f t="shared" si="8"/>
        <v>-91732.499999999985</v>
      </c>
      <c r="X29" s="18">
        <f t="shared" si="8"/>
        <v>-77541.61</v>
      </c>
      <c r="Y29" s="18">
        <f t="shared" si="8"/>
        <v>-75230.61</v>
      </c>
      <c r="Z29" s="18">
        <f t="shared" si="8"/>
        <v>-75756.41</v>
      </c>
      <c r="AA29" s="18">
        <f t="shared" si="8"/>
        <v>-75491.020000000019</v>
      </c>
      <c r="AB29" s="18">
        <f t="shared" si="8"/>
        <v>-74107.539999999994</v>
      </c>
      <c r="AC29" s="18">
        <f t="shared" si="8"/>
        <v>-84378.38</v>
      </c>
      <c r="AD29" s="18">
        <f t="shared" si="8"/>
        <v>-99681.290000000008</v>
      </c>
      <c r="AE29" s="18">
        <f t="shared" si="8"/>
        <v>-101762.37999999999</v>
      </c>
      <c r="AF29" s="18">
        <f t="shared" si="8"/>
        <v>-102186.74</v>
      </c>
      <c r="AG29" s="18">
        <f t="shared" si="8"/>
        <v>-105408.69999999998</v>
      </c>
      <c r="AH29" s="18">
        <f t="shared" si="8"/>
        <v>-102192.82</v>
      </c>
      <c r="AI29" s="18">
        <f t="shared" si="8"/>
        <v>-98667.590000000011</v>
      </c>
      <c r="AJ29" s="18">
        <f t="shared" si="0"/>
        <v>-970832.22</v>
      </c>
      <c r="AK29" s="18">
        <f t="shared" si="1"/>
        <v>-1006660.89</v>
      </c>
      <c r="AL29" s="18">
        <f t="shared" si="2"/>
        <v>-843876.45999999985</v>
      </c>
    </row>
    <row r="30" spans="1:38" x14ac:dyDescent="0.2">
      <c r="A30" s="17" t="s">
        <v>240</v>
      </c>
      <c r="B30" s="17" t="s">
        <v>239</v>
      </c>
      <c r="C30" s="18">
        <f t="shared" ref="C30:AI30" si="9">C20+C29</f>
        <v>-39121.240000000005</v>
      </c>
      <c r="D30" s="18">
        <f t="shared" si="9"/>
        <v>-25093.690000000002</v>
      </c>
      <c r="E30" s="18">
        <f t="shared" si="9"/>
        <v>-16703.690000000031</v>
      </c>
      <c r="F30" s="18">
        <f t="shared" si="9"/>
        <v>26392.18000000008</v>
      </c>
      <c r="G30" s="18">
        <f t="shared" si="9"/>
        <v>56654.580000000016</v>
      </c>
      <c r="H30" s="18">
        <f t="shared" si="9"/>
        <v>29874.6700000001</v>
      </c>
      <c r="I30" s="18">
        <f t="shared" si="9"/>
        <v>46653.259999999995</v>
      </c>
      <c r="J30" s="18">
        <f t="shared" si="9"/>
        <v>24372.939999999988</v>
      </c>
      <c r="K30" s="18">
        <f t="shared" si="9"/>
        <v>11.160000000003492</v>
      </c>
      <c r="L30" s="18">
        <f t="shared" si="9"/>
        <v>-10603.39999999998</v>
      </c>
      <c r="M30" s="18">
        <f t="shared" si="9"/>
        <v>-22581.949999999983</v>
      </c>
      <c r="N30" s="18">
        <f t="shared" si="9"/>
        <v>-24472.040000000023</v>
      </c>
      <c r="O30" s="18">
        <f t="shared" si="9"/>
        <v>-34233.769999999982</v>
      </c>
      <c r="P30" s="18">
        <f t="shared" si="9"/>
        <v>-29651.119999999988</v>
      </c>
      <c r="Q30" s="18">
        <f t="shared" si="9"/>
        <v>-14382.800000000017</v>
      </c>
      <c r="R30" s="18">
        <f t="shared" si="9"/>
        <v>34356.049999999988</v>
      </c>
      <c r="S30" s="18">
        <f t="shared" si="9"/>
        <v>46535.590000000011</v>
      </c>
      <c r="T30" s="18">
        <f t="shared" si="9"/>
        <v>38750.370000000083</v>
      </c>
      <c r="U30" s="18">
        <f t="shared" si="9"/>
        <v>25264.100000000035</v>
      </c>
      <c r="V30" s="18">
        <f t="shared" si="9"/>
        <v>31019.309999999969</v>
      </c>
      <c r="W30" s="18">
        <f t="shared" si="9"/>
        <v>10836.279999999984</v>
      </c>
      <c r="X30" s="18">
        <f t="shared" si="9"/>
        <v>-15362.790000000023</v>
      </c>
      <c r="Y30" s="18">
        <f t="shared" si="9"/>
        <v>-26704.959999999992</v>
      </c>
      <c r="Z30" s="18">
        <f t="shared" si="9"/>
        <v>-40636.580000000009</v>
      </c>
      <c r="AA30" s="18">
        <f t="shared" si="9"/>
        <v>-29758.160000000033</v>
      </c>
      <c r="AB30" s="18">
        <f t="shared" si="9"/>
        <v>-32109.979999999981</v>
      </c>
      <c r="AC30" s="18">
        <f t="shared" si="9"/>
        <v>-7233.6300000000047</v>
      </c>
      <c r="AD30" s="18">
        <f t="shared" si="9"/>
        <v>20363.439999999973</v>
      </c>
      <c r="AE30" s="18">
        <f t="shared" si="9"/>
        <v>65100.36</v>
      </c>
      <c r="AF30" s="18">
        <f t="shared" si="9"/>
        <v>58657.960000000006</v>
      </c>
      <c r="AG30" s="18">
        <f t="shared" si="9"/>
        <v>38340.860000000044</v>
      </c>
      <c r="AH30" s="18">
        <f t="shared" si="9"/>
        <v>30973.060000000056</v>
      </c>
      <c r="AI30" s="18">
        <f t="shared" si="9"/>
        <v>-15411.650000000038</v>
      </c>
      <c r="AJ30" s="18">
        <f t="shared" si="0"/>
        <v>45382.780000000159</v>
      </c>
      <c r="AK30" s="18">
        <f t="shared" si="1"/>
        <v>25789.680000000058</v>
      </c>
      <c r="AL30" s="18">
        <f t="shared" si="2"/>
        <v>128922.26000000002</v>
      </c>
    </row>
    <row r="31" spans="1:38" x14ac:dyDescent="0.2">
      <c r="A31" t="s">
        <v>242</v>
      </c>
      <c r="B31" s="8" t="s">
        <v>241</v>
      </c>
      <c r="C31" s="16">
        <v>-2619.44</v>
      </c>
      <c r="D31" s="16">
        <v>-2619.44</v>
      </c>
      <c r="E31" s="16">
        <v>-2619.44</v>
      </c>
      <c r="F31" s="16">
        <v>-2619.44</v>
      </c>
      <c r="G31" s="16">
        <v>-2861.11</v>
      </c>
      <c r="H31" s="16">
        <v>-2861.11</v>
      </c>
      <c r="I31" s="16">
        <v>-2861.11</v>
      </c>
      <c r="J31" s="16">
        <v>-2861.11</v>
      </c>
      <c r="K31" s="16">
        <v>-2861.11</v>
      </c>
      <c r="L31" s="16">
        <v>-2861.11</v>
      </c>
      <c r="M31" s="16">
        <v>-2861.11</v>
      </c>
      <c r="N31" s="16">
        <v>-2861.11</v>
      </c>
      <c r="O31" s="16">
        <v>-2861.11</v>
      </c>
      <c r="P31" s="16">
        <v>-2861.11</v>
      </c>
      <c r="Q31" s="16">
        <v>-2861.11</v>
      </c>
      <c r="R31" s="16">
        <v>-3024.44</v>
      </c>
      <c r="S31" s="16">
        <v>-3024.44</v>
      </c>
      <c r="T31" s="16">
        <v>-3092.15</v>
      </c>
      <c r="U31" s="16">
        <v>-3092.15</v>
      </c>
      <c r="V31" s="16">
        <v>-3092.15</v>
      </c>
      <c r="W31" s="16">
        <v>-3092.15</v>
      </c>
      <c r="X31" s="16">
        <v>-3092.15</v>
      </c>
      <c r="Y31" s="16">
        <v>-3092.15</v>
      </c>
      <c r="Z31" s="16">
        <v>-3092.15</v>
      </c>
      <c r="AA31" s="16">
        <v>-3092.15</v>
      </c>
      <c r="AB31" s="16">
        <v>-3092.15</v>
      </c>
      <c r="AC31" s="16">
        <v>-3592.15</v>
      </c>
      <c r="AD31" s="16">
        <v>-3592.15</v>
      </c>
      <c r="AE31" s="16">
        <v>-3712.15</v>
      </c>
      <c r="AF31" s="16">
        <v>-3712.15</v>
      </c>
      <c r="AG31" s="16">
        <v>-3712.15</v>
      </c>
      <c r="AH31" s="16">
        <v>-3712.15</v>
      </c>
      <c r="AI31" s="16">
        <v>-3712.15</v>
      </c>
      <c r="AJ31" s="16">
        <f t="shared" si="0"/>
        <v>-33366.639999999999</v>
      </c>
      <c r="AK31" s="16">
        <f t="shared" si="1"/>
        <v>-36277.260000000009</v>
      </c>
      <c r="AL31" s="16">
        <f t="shared" si="2"/>
        <v>-31929.350000000006</v>
      </c>
    </row>
    <row r="32" spans="1:38" x14ac:dyDescent="0.2">
      <c r="A32" s="17" t="s">
        <v>244</v>
      </c>
      <c r="B32" s="17" t="s">
        <v>243</v>
      </c>
      <c r="C32" s="18">
        <f t="shared" ref="C32:AI32" si="10">C30+C31</f>
        <v>-41740.680000000008</v>
      </c>
      <c r="D32" s="18">
        <f t="shared" si="10"/>
        <v>-27713.13</v>
      </c>
      <c r="E32" s="18">
        <f t="shared" si="10"/>
        <v>-19323.13000000003</v>
      </c>
      <c r="F32" s="18">
        <f t="shared" si="10"/>
        <v>23772.740000000082</v>
      </c>
      <c r="G32" s="18">
        <f t="shared" si="10"/>
        <v>53793.470000000016</v>
      </c>
      <c r="H32" s="18">
        <f t="shared" si="10"/>
        <v>27013.5600000001</v>
      </c>
      <c r="I32" s="18">
        <f t="shared" si="10"/>
        <v>43792.149999999994</v>
      </c>
      <c r="J32" s="18">
        <f t="shared" si="10"/>
        <v>21511.829999999987</v>
      </c>
      <c r="K32" s="18">
        <f t="shared" si="10"/>
        <v>-2849.9499999999966</v>
      </c>
      <c r="L32" s="18">
        <f t="shared" si="10"/>
        <v>-13464.50999999998</v>
      </c>
      <c r="M32" s="18">
        <f t="shared" si="10"/>
        <v>-25443.059999999983</v>
      </c>
      <c r="N32" s="18">
        <f t="shared" si="10"/>
        <v>-27333.150000000023</v>
      </c>
      <c r="O32" s="18">
        <f t="shared" si="10"/>
        <v>-37094.879999999983</v>
      </c>
      <c r="P32" s="18">
        <f t="shared" si="10"/>
        <v>-32512.229999999989</v>
      </c>
      <c r="Q32" s="18">
        <f t="shared" si="10"/>
        <v>-17243.910000000018</v>
      </c>
      <c r="R32" s="18">
        <f t="shared" si="10"/>
        <v>31331.60999999999</v>
      </c>
      <c r="S32" s="18">
        <f t="shared" si="10"/>
        <v>43511.150000000009</v>
      </c>
      <c r="T32" s="18">
        <f t="shared" si="10"/>
        <v>35658.220000000081</v>
      </c>
      <c r="U32" s="18">
        <f t="shared" si="10"/>
        <v>22171.950000000033</v>
      </c>
      <c r="V32" s="18">
        <f t="shared" si="10"/>
        <v>27927.159999999967</v>
      </c>
      <c r="W32" s="18">
        <f t="shared" si="10"/>
        <v>7744.1299999999846</v>
      </c>
      <c r="X32" s="18">
        <f t="shared" si="10"/>
        <v>-18454.940000000024</v>
      </c>
      <c r="Y32" s="18">
        <f t="shared" si="10"/>
        <v>-29797.109999999993</v>
      </c>
      <c r="Z32" s="18">
        <f t="shared" si="10"/>
        <v>-43728.73000000001</v>
      </c>
      <c r="AA32" s="18">
        <f t="shared" si="10"/>
        <v>-32850.310000000034</v>
      </c>
      <c r="AB32" s="18">
        <f t="shared" si="10"/>
        <v>-35202.129999999983</v>
      </c>
      <c r="AC32" s="18">
        <f t="shared" si="10"/>
        <v>-10825.780000000004</v>
      </c>
      <c r="AD32" s="18">
        <f t="shared" si="10"/>
        <v>16771.289999999972</v>
      </c>
      <c r="AE32" s="18">
        <f t="shared" si="10"/>
        <v>61388.21</v>
      </c>
      <c r="AF32" s="18">
        <f t="shared" si="10"/>
        <v>54945.810000000005</v>
      </c>
      <c r="AG32" s="18">
        <f t="shared" si="10"/>
        <v>34628.710000000043</v>
      </c>
      <c r="AH32" s="18">
        <f t="shared" si="10"/>
        <v>27260.910000000054</v>
      </c>
      <c r="AI32" s="18">
        <f t="shared" si="10"/>
        <v>-19123.800000000039</v>
      </c>
      <c r="AJ32" s="18">
        <f t="shared" si="0"/>
        <v>12016.140000000145</v>
      </c>
      <c r="AK32" s="18">
        <f t="shared" si="1"/>
        <v>-10487.579999999944</v>
      </c>
      <c r="AL32" s="18">
        <f t="shared" si="2"/>
        <v>96992.91</v>
      </c>
    </row>
    <row r="33" spans="1:38" x14ac:dyDescent="0.2">
      <c r="A33" t="s">
        <v>246</v>
      </c>
      <c r="B33" s="8" t="s">
        <v>245</v>
      </c>
      <c r="C33" s="16">
        <v>-1968.75</v>
      </c>
      <c r="D33" s="16">
        <v>-1935.94</v>
      </c>
      <c r="E33" s="16">
        <v>-2007.38</v>
      </c>
      <c r="F33" s="16">
        <v>-3336.29</v>
      </c>
      <c r="G33" s="16">
        <v>-2623.33</v>
      </c>
      <c r="H33" s="16">
        <v>-1764.11</v>
      </c>
      <c r="I33" s="16">
        <v>-1714.81</v>
      </c>
      <c r="J33" s="16">
        <v>-1647.05</v>
      </c>
      <c r="K33" s="16">
        <v>-1577.28</v>
      </c>
      <c r="L33" s="16">
        <v>-1517.53</v>
      </c>
      <c r="M33" s="16">
        <v>-1423.61</v>
      </c>
      <c r="N33" s="16">
        <v>-1341</v>
      </c>
      <c r="O33" s="16">
        <v>-1279.71</v>
      </c>
      <c r="P33" s="16">
        <v>-1215.8</v>
      </c>
      <c r="Q33" s="16">
        <v>-1437.25</v>
      </c>
      <c r="R33" s="16">
        <v>-1392.75</v>
      </c>
      <c r="S33" s="16">
        <v>-1100</v>
      </c>
      <c r="T33" s="16">
        <v>-1075</v>
      </c>
      <c r="U33" s="16">
        <v>-1050</v>
      </c>
      <c r="V33" s="16">
        <v>-1025</v>
      </c>
      <c r="W33" s="16">
        <v>-985.8</v>
      </c>
      <c r="X33" s="16">
        <v>-938.07</v>
      </c>
      <c r="Y33" s="16">
        <v>-884.03</v>
      </c>
      <c r="Z33" s="16">
        <v>-860.76</v>
      </c>
      <c r="AA33" s="16">
        <v>-837.5</v>
      </c>
      <c r="AB33" s="16">
        <v>-1100.3699999999999</v>
      </c>
      <c r="AC33" s="16">
        <v>-1513.1</v>
      </c>
      <c r="AD33" s="16">
        <v>-2002.89</v>
      </c>
      <c r="AE33" s="16">
        <v>-1670.94</v>
      </c>
      <c r="AF33" s="16">
        <v>-721.18</v>
      </c>
      <c r="AG33" s="16">
        <v>-697.92</v>
      </c>
      <c r="AH33" s="16">
        <v>-674.65</v>
      </c>
      <c r="AI33" s="16">
        <v>-651.39</v>
      </c>
      <c r="AJ33" s="16">
        <f t="shared" si="0"/>
        <v>-22857.079999999998</v>
      </c>
      <c r="AK33" s="16">
        <f t="shared" si="1"/>
        <v>-13244.17</v>
      </c>
      <c r="AL33" s="16">
        <f t="shared" si="2"/>
        <v>-9869.9399999999987</v>
      </c>
    </row>
    <row r="34" spans="1:38" x14ac:dyDescent="0.2">
      <c r="A34" s="17" t="s">
        <v>248</v>
      </c>
      <c r="B34" s="17" t="s">
        <v>247</v>
      </c>
      <c r="C34" s="18">
        <f t="shared" ref="C34:AI34" si="11">C32+C33</f>
        <v>-43709.430000000008</v>
      </c>
      <c r="D34" s="18">
        <f t="shared" si="11"/>
        <v>-29649.07</v>
      </c>
      <c r="E34" s="18">
        <f t="shared" si="11"/>
        <v>-21330.510000000031</v>
      </c>
      <c r="F34" s="18">
        <f t="shared" si="11"/>
        <v>20436.450000000081</v>
      </c>
      <c r="G34" s="18">
        <f t="shared" si="11"/>
        <v>51170.140000000014</v>
      </c>
      <c r="H34" s="18">
        <f t="shared" si="11"/>
        <v>25249.450000000099</v>
      </c>
      <c r="I34" s="18">
        <f t="shared" si="11"/>
        <v>42077.34</v>
      </c>
      <c r="J34" s="18">
        <f t="shared" si="11"/>
        <v>19864.779999999988</v>
      </c>
      <c r="K34" s="18">
        <f t="shared" si="11"/>
        <v>-4427.2299999999968</v>
      </c>
      <c r="L34" s="18">
        <f t="shared" si="11"/>
        <v>-14982.039999999981</v>
      </c>
      <c r="M34" s="18">
        <f t="shared" si="11"/>
        <v>-26866.669999999984</v>
      </c>
      <c r="N34" s="18">
        <f t="shared" si="11"/>
        <v>-28674.150000000023</v>
      </c>
      <c r="O34" s="18">
        <f t="shared" si="11"/>
        <v>-38374.589999999982</v>
      </c>
      <c r="P34" s="18">
        <f t="shared" si="11"/>
        <v>-33728.029999999992</v>
      </c>
      <c r="Q34" s="18">
        <f t="shared" si="11"/>
        <v>-18681.160000000018</v>
      </c>
      <c r="R34" s="18">
        <f t="shared" si="11"/>
        <v>29938.85999999999</v>
      </c>
      <c r="S34" s="18">
        <f t="shared" si="11"/>
        <v>42411.150000000009</v>
      </c>
      <c r="T34" s="18">
        <f t="shared" si="11"/>
        <v>34583.220000000081</v>
      </c>
      <c r="U34" s="18">
        <f t="shared" si="11"/>
        <v>21121.950000000033</v>
      </c>
      <c r="V34" s="18">
        <f t="shared" si="11"/>
        <v>26902.159999999967</v>
      </c>
      <c r="W34" s="18">
        <f t="shared" si="11"/>
        <v>6758.3299999999845</v>
      </c>
      <c r="X34" s="18">
        <f t="shared" si="11"/>
        <v>-19393.010000000024</v>
      </c>
      <c r="Y34" s="18">
        <f t="shared" si="11"/>
        <v>-30681.139999999992</v>
      </c>
      <c r="Z34" s="18">
        <f t="shared" si="11"/>
        <v>-44589.490000000013</v>
      </c>
      <c r="AA34" s="18">
        <f t="shared" si="11"/>
        <v>-33687.810000000034</v>
      </c>
      <c r="AB34" s="18">
        <f t="shared" si="11"/>
        <v>-36302.499999999985</v>
      </c>
      <c r="AC34" s="18">
        <f t="shared" si="11"/>
        <v>-12338.880000000005</v>
      </c>
      <c r="AD34" s="18">
        <f t="shared" si="11"/>
        <v>14768.399999999972</v>
      </c>
      <c r="AE34" s="18">
        <f t="shared" si="11"/>
        <v>59717.27</v>
      </c>
      <c r="AF34" s="18">
        <f t="shared" si="11"/>
        <v>54224.630000000005</v>
      </c>
      <c r="AG34" s="18">
        <f t="shared" si="11"/>
        <v>33930.790000000045</v>
      </c>
      <c r="AH34" s="18">
        <f t="shared" si="11"/>
        <v>26586.260000000053</v>
      </c>
      <c r="AI34" s="18">
        <f t="shared" si="11"/>
        <v>-19775.190000000039</v>
      </c>
      <c r="AJ34" s="18">
        <f t="shared" si="0"/>
        <v>-10840.939999999842</v>
      </c>
      <c r="AK34" s="18">
        <f t="shared" si="1"/>
        <v>-23731.749999999956</v>
      </c>
      <c r="AL34" s="18">
        <f t="shared" si="2"/>
        <v>87122.97</v>
      </c>
    </row>
    <row r="35" spans="1:38" x14ac:dyDescent="0.2">
      <c r="A35" t="s">
        <v>250</v>
      </c>
      <c r="B35" s="8" t="s">
        <v>249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-108.16</v>
      </c>
      <c r="K35" s="16">
        <v>108.16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-1997.92</v>
      </c>
      <c r="AI35" s="16">
        <v>1997.92</v>
      </c>
      <c r="AJ35" s="16">
        <f t="shared" si="0"/>
        <v>0</v>
      </c>
      <c r="AK35" s="16">
        <f t="shared" si="1"/>
        <v>0</v>
      </c>
      <c r="AL35" s="16">
        <f t="shared" si="2"/>
        <v>0</v>
      </c>
    </row>
    <row r="36" spans="1:38" x14ac:dyDescent="0.2">
      <c r="A36" s="17" t="s">
        <v>252</v>
      </c>
      <c r="B36" s="17" t="s">
        <v>251</v>
      </c>
      <c r="C36" s="18">
        <f t="shared" ref="C36:AI36" si="12">C34+C35</f>
        <v>-43709.430000000008</v>
      </c>
      <c r="D36" s="18">
        <f t="shared" si="12"/>
        <v>-29649.07</v>
      </c>
      <c r="E36" s="18">
        <f t="shared" si="12"/>
        <v>-21330.510000000031</v>
      </c>
      <c r="F36" s="18">
        <f t="shared" si="12"/>
        <v>20436.450000000081</v>
      </c>
      <c r="G36" s="18">
        <f t="shared" si="12"/>
        <v>51170.140000000014</v>
      </c>
      <c r="H36" s="18">
        <f t="shared" si="12"/>
        <v>25249.450000000099</v>
      </c>
      <c r="I36" s="18">
        <f t="shared" si="12"/>
        <v>42077.34</v>
      </c>
      <c r="J36" s="18">
        <f t="shared" si="12"/>
        <v>19756.619999999988</v>
      </c>
      <c r="K36" s="18">
        <f t="shared" si="12"/>
        <v>-4319.069999999997</v>
      </c>
      <c r="L36" s="18">
        <f t="shared" si="12"/>
        <v>-14982.039999999981</v>
      </c>
      <c r="M36" s="18">
        <f t="shared" si="12"/>
        <v>-26866.669999999984</v>
      </c>
      <c r="N36" s="18">
        <f t="shared" si="12"/>
        <v>-28674.150000000023</v>
      </c>
      <c r="O36" s="18">
        <f t="shared" si="12"/>
        <v>-38374.589999999982</v>
      </c>
      <c r="P36" s="18">
        <f t="shared" si="12"/>
        <v>-33728.029999999992</v>
      </c>
      <c r="Q36" s="18">
        <f t="shared" si="12"/>
        <v>-18681.160000000018</v>
      </c>
      <c r="R36" s="18">
        <f t="shared" si="12"/>
        <v>29938.85999999999</v>
      </c>
      <c r="S36" s="18">
        <f t="shared" si="12"/>
        <v>42411.150000000009</v>
      </c>
      <c r="T36" s="18">
        <f t="shared" si="12"/>
        <v>34583.220000000081</v>
      </c>
      <c r="U36" s="18">
        <f t="shared" si="12"/>
        <v>21121.950000000033</v>
      </c>
      <c r="V36" s="18">
        <f t="shared" si="12"/>
        <v>26902.159999999967</v>
      </c>
      <c r="W36" s="18">
        <f t="shared" si="12"/>
        <v>6758.3299999999845</v>
      </c>
      <c r="X36" s="18">
        <f t="shared" si="12"/>
        <v>-19393.010000000024</v>
      </c>
      <c r="Y36" s="18">
        <f t="shared" si="12"/>
        <v>-30681.139999999992</v>
      </c>
      <c r="Z36" s="18">
        <f t="shared" si="12"/>
        <v>-44589.490000000013</v>
      </c>
      <c r="AA36" s="18">
        <f t="shared" si="12"/>
        <v>-33687.810000000034</v>
      </c>
      <c r="AB36" s="18">
        <f t="shared" si="12"/>
        <v>-36302.499999999985</v>
      </c>
      <c r="AC36" s="18">
        <f t="shared" si="12"/>
        <v>-12338.880000000005</v>
      </c>
      <c r="AD36" s="18">
        <f t="shared" si="12"/>
        <v>14768.399999999972</v>
      </c>
      <c r="AE36" s="18">
        <f t="shared" si="12"/>
        <v>59717.27</v>
      </c>
      <c r="AF36" s="18">
        <f t="shared" si="12"/>
        <v>54224.630000000005</v>
      </c>
      <c r="AG36" s="18">
        <f t="shared" si="12"/>
        <v>33930.790000000045</v>
      </c>
      <c r="AH36" s="18">
        <f t="shared" si="12"/>
        <v>24588.340000000055</v>
      </c>
      <c r="AI36" s="18">
        <f t="shared" si="12"/>
        <v>-17777.27000000004</v>
      </c>
      <c r="AJ36" s="18">
        <f t="shared" si="0"/>
        <v>-10840.939999999842</v>
      </c>
      <c r="AK36" s="18">
        <f t="shared" si="1"/>
        <v>-23731.749999999956</v>
      </c>
      <c r="AL36" s="18">
        <f t="shared" si="2"/>
        <v>87122.97</v>
      </c>
    </row>
  </sheetData>
  <mergeCells count="1">
    <mergeCell ref="A1:A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31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ht="19" customHeight="1" x14ac:dyDescent="0.25">
      <c r="A2" s="1" t="s">
        <v>476</v>
      </c>
    </row>
    <row r="3" spans="1:40" x14ac:dyDescent="0.2">
      <c r="A3" s="2" t="s">
        <v>439</v>
      </c>
    </row>
    <row r="5" spans="1:40" ht="32" customHeight="1" x14ac:dyDescent="0.2">
      <c r="A5" s="6" t="s">
        <v>137</v>
      </c>
      <c r="B5" s="7" t="s">
        <v>28</v>
      </c>
      <c r="C5" s="7" t="s">
        <v>440</v>
      </c>
      <c r="D5" s="7" t="s">
        <v>441</v>
      </c>
      <c r="E5" s="7" t="s">
        <v>442</v>
      </c>
      <c r="F5" s="7" t="s">
        <v>443</v>
      </c>
      <c r="G5" s="7" t="s">
        <v>444</v>
      </c>
      <c r="H5" s="7" t="s">
        <v>445</v>
      </c>
      <c r="I5" s="7" t="s">
        <v>446</v>
      </c>
      <c r="J5" s="7" t="s">
        <v>447</v>
      </c>
      <c r="K5" s="7" t="s">
        <v>448</v>
      </c>
      <c r="L5" s="7" t="s">
        <v>449</v>
      </c>
      <c r="M5" s="7" t="s">
        <v>450</v>
      </c>
      <c r="N5" s="7" t="s">
        <v>451</v>
      </c>
      <c r="O5" s="7" t="s">
        <v>452</v>
      </c>
      <c r="P5" s="7" t="s">
        <v>453</v>
      </c>
      <c r="Q5" s="7" t="s">
        <v>454</v>
      </c>
      <c r="R5" s="7" t="s">
        <v>455</v>
      </c>
      <c r="S5" s="7" t="s">
        <v>456</v>
      </c>
      <c r="T5" s="7" t="s">
        <v>457</v>
      </c>
      <c r="U5" s="7" t="s">
        <v>458</v>
      </c>
      <c r="V5" s="7" t="s">
        <v>459</v>
      </c>
      <c r="W5" s="7" t="s">
        <v>460</v>
      </c>
      <c r="X5" s="7" t="s">
        <v>461</v>
      </c>
      <c r="Y5" s="7" t="s">
        <v>462</v>
      </c>
      <c r="Z5" s="7" t="s">
        <v>463</v>
      </c>
      <c r="AA5" s="7" t="s">
        <v>464</v>
      </c>
      <c r="AB5" s="7" t="s">
        <v>465</v>
      </c>
      <c r="AC5" s="7" t="s">
        <v>466</v>
      </c>
      <c r="AD5" s="7" t="s">
        <v>467</v>
      </c>
      <c r="AE5" s="7" t="s">
        <v>468</v>
      </c>
      <c r="AF5" s="7" t="s">
        <v>469</v>
      </c>
      <c r="AG5" s="7" t="s">
        <v>470</v>
      </c>
      <c r="AH5" s="7" t="s">
        <v>471</v>
      </c>
      <c r="AI5" s="7" t="s">
        <v>472</v>
      </c>
      <c r="AJ5" s="7" t="s">
        <v>473</v>
      </c>
      <c r="AK5" s="7" t="s">
        <v>474</v>
      </c>
      <c r="AL5" s="7" t="s">
        <v>475</v>
      </c>
    </row>
    <row r="6" spans="1:40" x14ac:dyDescent="0.2">
      <c r="A6" t="s">
        <v>255</v>
      </c>
      <c r="B6" s="8" t="s">
        <v>254</v>
      </c>
      <c r="C6" s="16">
        <v>283273.96999999997</v>
      </c>
      <c r="D6" s="16">
        <v>73882.28</v>
      </c>
      <c r="E6" s="16">
        <v>100770.82</v>
      </c>
      <c r="F6" s="16">
        <v>100625.71</v>
      </c>
      <c r="G6" s="16">
        <v>190676.27</v>
      </c>
      <c r="H6" s="16">
        <v>397881.74</v>
      </c>
      <c r="I6" s="16">
        <v>452726.02</v>
      </c>
      <c r="J6" s="16">
        <v>436670.57</v>
      </c>
      <c r="K6" s="16">
        <v>400722.01</v>
      </c>
      <c r="L6" s="16">
        <v>289312.24</v>
      </c>
      <c r="M6" s="16">
        <v>241110.08</v>
      </c>
      <c r="N6" s="16">
        <v>235783.35</v>
      </c>
      <c r="O6" s="16">
        <v>109112.94</v>
      </c>
      <c r="P6" s="16">
        <v>100352.47</v>
      </c>
      <c r="Q6" s="16">
        <v>115450.11</v>
      </c>
      <c r="R6" s="16">
        <v>241567.77</v>
      </c>
      <c r="S6" s="16">
        <v>390525.61</v>
      </c>
      <c r="T6" s="16">
        <v>458978.56</v>
      </c>
      <c r="U6" s="16">
        <v>478263.05</v>
      </c>
      <c r="V6" s="16">
        <v>438601.39</v>
      </c>
      <c r="W6" s="16">
        <v>434335.6</v>
      </c>
      <c r="X6" s="16">
        <v>322089.65000000002</v>
      </c>
      <c r="Y6" s="16">
        <v>231958.55</v>
      </c>
      <c r="Z6" s="16">
        <v>153494.04999999999</v>
      </c>
      <c r="AA6" s="16">
        <v>72974.759999999995</v>
      </c>
      <c r="AB6" s="16">
        <v>100304.24</v>
      </c>
      <c r="AC6" s="16">
        <v>87020.94</v>
      </c>
      <c r="AD6" s="16">
        <v>100079.8</v>
      </c>
      <c r="AE6" s="16">
        <v>138781.10999999999</v>
      </c>
      <c r="AF6" s="16">
        <v>369552.74</v>
      </c>
      <c r="AG6" s="16">
        <v>422230.39</v>
      </c>
      <c r="AH6" s="16">
        <v>416997.2</v>
      </c>
      <c r="AI6" s="16">
        <v>354459.44</v>
      </c>
      <c r="AJ6" s="16">
        <f t="shared" ref="AJ6:AJ31" si="0">N6</f>
        <v>235783.35</v>
      </c>
      <c r="AK6" s="16">
        <f t="shared" ref="AK6:AK31" si="1">Z6</f>
        <v>153494.04999999999</v>
      </c>
      <c r="AL6" s="16">
        <f t="shared" ref="AL6:AL31" si="2">AI6</f>
        <v>354459.44</v>
      </c>
    </row>
    <row r="7" spans="1:40" x14ac:dyDescent="0.2">
      <c r="A7" t="s">
        <v>257</v>
      </c>
      <c r="B7" s="8" t="s">
        <v>256</v>
      </c>
      <c r="C7" s="16">
        <v>9664.48</v>
      </c>
      <c r="D7" s="16">
        <v>7561.93</v>
      </c>
      <c r="E7" s="16">
        <v>4671.83</v>
      </c>
      <c r="F7" s="16">
        <v>35287.21</v>
      </c>
      <c r="G7" s="16">
        <v>47033.2</v>
      </c>
      <c r="H7" s="16">
        <v>15714.99</v>
      </c>
      <c r="I7" s="16">
        <v>32392.77</v>
      </c>
      <c r="J7" s="16">
        <v>41770.699999999997</v>
      </c>
      <c r="K7" s="16">
        <v>12652.89</v>
      </c>
      <c r="L7" s="16">
        <v>14883.88</v>
      </c>
      <c r="M7" s="16">
        <v>21980.400000000001</v>
      </c>
      <c r="N7" s="16">
        <v>14872.46</v>
      </c>
      <c r="O7" s="16">
        <v>10396.040000000001</v>
      </c>
      <c r="P7" s="16">
        <v>9538.68</v>
      </c>
      <c r="Q7" s="16">
        <v>4656.46</v>
      </c>
      <c r="R7" s="16">
        <v>33999.699999999997</v>
      </c>
      <c r="S7" s="16">
        <v>34772.199999999997</v>
      </c>
      <c r="T7" s="16">
        <v>53966.9</v>
      </c>
      <c r="U7" s="16">
        <v>28933.15</v>
      </c>
      <c r="V7" s="16">
        <v>38289.39</v>
      </c>
      <c r="W7" s="16">
        <v>19143.53</v>
      </c>
      <c r="X7" s="16">
        <v>8876.9699999999993</v>
      </c>
      <c r="Y7" s="16">
        <v>2399.3000000000002</v>
      </c>
      <c r="Z7" s="16">
        <v>13184.85</v>
      </c>
      <c r="AA7" s="16">
        <v>11416.7</v>
      </c>
      <c r="AB7" s="16">
        <v>14116.49</v>
      </c>
      <c r="AC7" s="16">
        <v>20854.09</v>
      </c>
      <c r="AD7" s="16">
        <v>20489.09</v>
      </c>
      <c r="AE7" s="16">
        <v>30978.85</v>
      </c>
      <c r="AF7" s="16">
        <v>36066.559999999998</v>
      </c>
      <c r="AG7" s="16">
        <v>28588.28</v>
      </c>
      <c r="AH7" s="16">
        <v>30824.05</v>
      </c>
      <c r="AI7" s="16">
        <v>22724.22</v>
      </c>
      <c r="AJ7" s="16">
        <f t="shared" si="0"/>
        <v>14872.46</v>
      </c>
      <c r="AK7" s="16">
        <f t="shared" si="1"/>
        <v>13184.85</v>
      </c>
      <c r="AL7" s="16">
        <f t="shared" si="2"/>
        <v>22724.22</v>
      </c>
    </row>
    <row r="8" spans="1:40" x14ac:dyDescent="0.2">
      <c r="A8" t="s">
        <v>259</v>
      </c>
      <c r="B8" s="8" t="s">
        <v>258</v>
      </c>
      <c r="C8" s="16">
        <v>349578.53</v>
      </c>
      <c r="D8" s="16">
        <v>511975.69</v>
      </c>
      <c r="E8" s="16">
        <v>678710.31</v>
      </c>
      <c r="F8" s="16">
        <v>579158.97</v>
      </c>
      <c r="G8" s="16">
        <v>390873.1</v>
      </c>
      <c r="H8" s="16">
        <v>317051.88</v>
      </c>
      <c r="I8" s="16">
        <v>316752.7</v>
      </c>
      <c r="J8" s="16">
        <v>332144.87</v>
      </c>
      <c r="K8" s="16">
        <v>389634.13</v>
      </c>
      <c r="L8" s="16">
        <v>371878.78</v>
      </c>
      <c r="M8" s="16">
        <v>368673.68</v>
      </c>
      <c r="N8" s="16">
        <v>410467.71</v>
      </c>
      <c r="O8" s="16">
        <v>443372.09</v>
      </c>
      <c r="P8" s="16">
        <v>426880.82</v>
      </c>
      <c r="Q8" s="16">
        <v>420183.86</v>
      </c>
      <c r="R8" s="16">
        <v>311582.46000000002</v>
      </c>
      <c r="S8" s="16">
        <v>234560.28</v>
      </c>
      <c r="T8" s="16">
        <v>238496.44</v>
      </c>
      <c r="U8" s="16">
        <v>287015.18</v>
      </c>
      <c r="V8" s="16">
        <v>266654.03999999998</v>
      </c>
      <c r="W8" s="16">
        <v>307577.71000000002</v>
      </c>
      <c r="X8" s="16">
        <v>379861.45</v>
      </c>
      <c r="Y8" s="16">
        <v>381919.76</v>
      </c>
      <c r="Z8" s="16">
        <v>415275.11</v>
      </c>
      <c r="AA8" s="16">
        <v>420900.66</v>
      </c>
      <c r="AB8" s="16">
        <v>504446.16</v>
      </c>
      <c r="AC8" s="16">
        <v>652730.09</v>
      </c>
      <c r="AD8" s="16">
        <v>589924.93999999994</v>
      </c>
      <c r="AE8" s="16">
        <v>405109.75</v>
      </c>
      <c r="AF8" s="16">
        <v>317073.75</v>
      </c>
      <c r="AG8" s="16">
        <v>302597.06</v>
      </c>
      <c r="AH8" s="16">
        <v>277538.02</v>
      </c>
      <c r="AI8" s="16">
        <v>342554.88</v>
      </c>
      <c r="AJ8" s="16">
        <f t="shared" si="0"/>
        <v>410467.71</v>
      </c>
      <c r="AK8" s="16">
        <f t="shared" si="1"/>
        <v>415275.11</v>
      </c>
      <c r="AL8" s="16">
        <f t="shared" si="2"/>
        <v>342554.88</v>
      </c>
    </row>
    <row r="9" spans="1:40" x14ac:dyDescent="0.2">
      <c r="A9" t="s">
        <v>261</v>
      </c>
      <c r="B9" s="8" t="s">
        <v>260</v>
      </c>
      <c r="C9" s="16">
        <v>1793.49</v>
      </c>
      <c r="D9" s="16">
        <v>1416.61</v>
      </c>
      <c r="E9" s="16">
        <v>4766.22</v>
      </c>
      <c r="F9" s="16">
        <v>4914.05</v>
      </c>
      <c r="G9" s="16">
        <v>9206.33</v>
      </c>
      <c r="H9" s="16">
        <v>17678.89</v>
      </c>
      <c r="I9" s="16">
        <v>13983.06</v>
      </c>
      <c r="J9" s="16">
        <v>8549.32</v>
      </c>
      <c r="K9" s="16">
        <v>2393.71</v>
      </c>
      <c r="L9" s="16">
        <v>4179.17</v>
      </c>
      <c r="M9" s="16">
        <v>2360.6799999999998</v>
      </c>
      <c r="N9" s="16">
        <v>1715.1</v>
      </c>
      <c r="O9" s="16">
        <v>2074.7399999999998</v>
      </c>
      <c r="P9" s="16">
        <v>3262.13</v>
      </c>
      <c r="Q9" s="16">
        <v>3723.83</v>
      </c>
      <c r="R9" s="16">
        <v>4559.47</v>
      </c>
      <c r="S9" s="16">
        <v>13663.06</v>
      </c>
      <c r="T9" s="16">
        <v>12230.34</v>
      </c>
      <c r="U9" s="16">
        <v>10213.1</v>
      </c>
      <c r="V9" s="16">
        <v>7557.49</v>
      </c>
      <c r="W9" s="16">
        <v>2282.79</v>
      </c>
      <c r="X9" s="16">
        <v>2091.4</v>
      </c>
      <c r="Y9" s="16">
        <v>1831.21</v>
      </c>
      <c r="Z9" s="16">
        <v>900.16</v>
      </c>
      <c r="AA9" s="16">
        <v>1666.38</v>
      </c>
      <c r="AB9" s="16">
        <v>3466.25</v>
      </c>
      <c r="AC9" s="16">
        <v>6124.01</v>
      </c>
      <c r="AD9" s="16">
        <v>9625.83</v>
      </c>
      <c r="AE9" s="16">
        <v>7544.97</v>
      </c>
      <c r="AF9" s="16">
        <v>7199.53</v>
      </c>
      <c r="AG9" s="16">
        <v>4844.33</v>
      </c>
      <c r="AH9" s="16">
        <v>3495.83</v>
      </c>
      <c r="AI9" s="16">
        <v>8663.7999999999993</v>
      </c>
      <c r="AJ9" s="16">
        <f t="shared" si="0"/>
        <v>1715.1</v>
      </c>
      <c r="AK9" s="16">
        <f t="shared" si="1"/>
        <v>900.16</v>
      </c>
      <c r="AL9" s="16">
        <f t="shared" si="2"/>
        <v>8663.7999999999993</v>
      </c>
    </row>
    <row r="10" spans="1:40" x14ac:dyDescent="0.2">
      <c r="A10" t="s">
        <v>263</v>
      </c>
      <c r="B10" s="8" t="s">
        <v>262</v>
      </c>
      <c r="C10" s="16">
        <v>67068.22</v>
      </c>
      <c r="D10" s="16">
        <v>90541.2</v>
      </c>
      <c r="E10" s="16">
        <v>49235.91</v>
      </c>
      <c r="F10" s="16">
        <v>23228.28</v>
      </c>
      <c r="G10" s="16">
        <v>45315.17</v>
      </c>
      <c r="H10" s="16">
        <v>50719.8</v>
      </c>
      <c r="I10" s="16">
        <v>42163.42</v>
      </c>
      <c r="J10" s="16">
        <v>24296.9</v>
      </c>
      <c r="K10" s="16">
        <v>30409.71</v>
      </c>
      <c r="L10" s="16">
        <v>30761.11</v>
      </c>
      <c r="M10" s="16">
        <v>19975.86</v>
      </c>
      <c r="N10" s="16">
        <v>7737.92</v>
      </c>
      <c r="O10" s="16">
        <v>28726.31</v>
      </c>
      <c r="P10" s="16">
        <v>31519.919999999998</v>
      </c>
      <c r="Q10" s="16">
        <v>30623.93</v>
      </c>
      <c r="R10" s="16">
        <v>44688.34</v>
      </c>
      <c r="S10" s="16">
        <v>59009.97</v>
      </c>
      <c r="T10" s="16">
        <v>64979.97</v>
      </c>
      <c r="U10" s="16">
        <v>44001.39</v>
      </c>
      <c r="V10" s="16">
        <v>40703.94</v>
      </c>
      <c r="W10" s="16">
        <v>28436.75</v>
      </c>
      <c r="X10" s="16">
        <v>15388.58</v>
      </c>
      <c r="Y10" s="16">
        <v>13341.52</v>
      </c>
      <c r="Z10" s="16">
        <v>8391.91</v>
      </c>
      <c r="AA10" s="16">
        <v>29295.79</v>
      </c>
      <c r="AB10" s="16">
        <v>78577.47</v>
      </c>
      <c r="AC10" s="16">
        <v>62720.21</v>
      </c>
      <c r="AD10" s="16">
        <v>33843.06</v>
      </c>
      <c r="AE10" s="16">
        <v>40373.58</v>
      </c>
      <c r="AF10" s="16">
        <v>39044.550000000003</v>
      </c>
      <c r="AG10" s="16">
        <v>54626.01</v>
      </c>
      <c r="AH10" s="16">
        <v>59665.51</v>
      </c>
      <c r="AI10" s="16">
        <v>26792.86</v>
      </c>
      <c r="AJ10" s="16">
        <f t="shared" si="0"/>
        <v>7737.92</v>
      </c>
      <c r="AK10" s="16">
        <f t="shared" si="1"/>
        <v>8391.91</v>
      </c>
      <c r="AL10" s="16">
        <f t="shared" si="2"/>
        <v>26792.86</v>
      </c>
    </row>
    <row r="11" spans="1:40" x14ac:dyDescent="0.2">
      <c r="A11" t="s">
        <v>265</v>
      </c>
      <c r="B11" s="8" t="s">
        <v>264</v>
      </c>
      <c r="C11" s="16">
        <v>5902.66</v>
      </c>
      <c r="D11" s="16">
        <v>13605.71</v>
      </c>
      <c r="E11" s="16">
        <v>20971.919999999998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1449.94</v>
      </c>
      <c r="P11" s="16">
        <v>391.43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2090.5500000000002</v>
      </c>
      <c r="Y11" s="16">
        <v>1344.83</v>
      </c>
      <c r="Z11" s="16">
        <v>2913.21</v>
      </c>
      <c r="AA11" s="16">
        <v>0</v>
      </c>
      <c r="AB11" s="16">
        <v>4288.16</v>
      </c>
      <c r="AC11" s="16">
        <v>9828.1200000000008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f t="shared" si="0"/>
        <v>0</v>
      </c>
      <c r="AK11" s="16">
        <f t="shared" si="1"/>
        <v>2913.21</v>
      </c>
      <c r="AL11" s="16">
        <f t="shared" si="2"/>
        <v>0</v>
      </c>
    </row>
    <row r="12" spans="1:40" x14ac:dyDescent="0.2">
      <c r="A12" s="17" t="s">
        <v>267</v>
      </c>
      <c r="B12" s="17" t="s">
        <v>266</v>
      </c>
      <c r="C12" s="18">
        <f t="shared" ref="C12:AI12" si="3">C6+C7+C8+C9+C10+C11</f>
        <v>717281.35</v>
      </c>
      <c r="D12" s="18">
        <f t="shared" si="3"/>
        <v>698983.41999999993</v>
      </c>
      <c r="E12" s="18">
        <f t="shared" si="3"/>
        <v>859127.01000000013</v>
      </c>
      <c r="F12" s="18">
        <f t="shared" si="3"/>
        <v>743214.22000000009</v>
      </c>
      <c r="G12" s="18">
        <f t="shared" si="3"/>
        <v>683104.07</v>
      </c>
      <c r="H12" s="18">
        <f t="shared" si="3"/>
        <v>799047.3</v>
      </c>
      <c r="I12" s="18">
        <f t="shared" si="3"/>
        <v>858017.97000000009</v>
      </c>
      <c r="J12" s="18">
        <f t="shared" si="3"/>
        <v>843432.36</v>
      </c>
      <c r="K12" s="18">
        <f t="shared" si="3"/>
        <v>835812.45</v>
      </c>
      <c r="L12" s="18">
        <f t="shared" si="3"/>
        <v>711015.18</v>
      </c>
      <c r="M12" s="18">
        <f t="shared" si="3"/>
        <v>654100.69999999995</v>
      </c>
      <c r="N12" s="18">
        <f t="shared" si="3"/>
        <v>670576.54</v>
      </c>
      <c r="O12" s="18">
        <f t="shared" si="3"/>
        <v>595132.06000000006</v>
      </c>
      <c r="P12" s="18">
        <f t="shared" si="3"/>
        <v>571945.45000000007</v>
      </c>
      <c r="Q12" s="18">
        <f t="shared" si="3"/>
        <v>574638.18999999994</v>
      </c>
      <c r="R12" s="18">
        <f t="shared" si="3"/>
        <v>636397.73999999987</v>
      </c>
      <c r="S12" s="18">
        <f t="shared" si="3"/>
        <v>732531.12</v>
      </c>
      <c r="T12" s="18">
        <f t="shared" si="3"/>
        <v>828652.21</v>
      </c>
      <c r="U12" s="18">
        <f t="shared" si="3"/>
        <v>848425.87</v>
      </c>
      <c r="V12" s="18">
        <f t="shared" si="3"/>
        <v>791806.25</v>
      </c>
      <c r="W12" s="18">
        <f t="shared" si="3"/>
        <v>791776.38000000012</v>
      </c>
      <c r="X12" s="18">
        <f t="shared" si="3"/>
        <v>730398.60000000009</v>
      </c>
      <c r="Y12" s="18">
        <f t="shared" si="3"/>
        <v>632795.16999999993</v>
      </c>
      <c r="Z12" s="18">
        <f t="shared" si="3"/>
        <v>594159.29</v>
      </c>
      <c r="AA12" s="18">
        <f t="shared" si="3"/>
        <v>536254.29</v>
      </c>
      <c r="AB12" s="18">
        <f t="shared" si="3"/>
        <v>705198.77</v>
      </c>
      <c r="AC12" s="18">
        <f t="shared" si="3"/>
        <v>839277.46</v>
      </c>
      <c r="AD12" s="18">
        <f t="shared" si="3"/>
        <v>753962.72</v>
      </c>
      <c r="AE12" s="18">
        <f t="shared" si="3"/>
        <v>622788.25999999989</v>
      </c>
      <c r="AF12" s="18">
        <f t="shared" si="3"/>
        <v>768937.13000000012</v>
      </c>
      <c r="AG12" s="18">
        <f t="shared" si="3"/>
        <v>812886.07</v>
      </c>
      <c r="AH12" s="18">
        <f t="shared" si="3"/>
        <v>788520.61</v>
      </c>
      <c r="AI12" s="18">
        <f t="shared" si="3"/>
        <v>755195.20000000007</v>
      </c>
      <c r="AJ12" s="18">
        <f t="shared" si="0"/>
        <v>670576.54</v>
      </c>
      <c r="AK12" s="18">
        <f t="shared" si="1"/>
        <v>594159.29</v>
      </c>
      <c r="AL12" s="18">
        <f t="shared" si="2"/>
        <v>755195.20000000007</v>
      </c>
    </row>
    <row r="13" spans="1:40" x14ac:dyDescent="0.2">
      <c r="A13" t="s">
        <v>269</v>
      </c>
      <c r="B13" s="8" t="s">
        <v>268</v>
      </c>
      <c r="C13" s="16">
        <v>225000</v>
      </c>
      <c r="D13" s="16">
        <v>225000</v>
      </c>
      <c r="E13" s="16">
        <v>225000</v>
      </c>
      <c r="F13" s="16">
        <v>239500</v>
      </c>
      <c r="G13" s="16">
        <v>239500</v>
      </c>
      <c r="H13" s="16">
        <v>239500</v>
      </c>
      <c r="I13" s="16">
        <v>239500</v>
      </c>
      <c r="J13" s="16">
        <v>239500</v>
      </c>
      <c r="K13" s="16">
        <v>239500</v>
      </c>
      <c r="L13" s="16">
        <v>239500</v>
      </c>
      <c r="M13" s="16">
        <v>239500</v>
      </c>
      <c r="N13" s="16">
        <v>239500</v>
      </c>
      <c r="O13" s="16">
        <v>239500</v>
      </c>
      <c r="P13" s="16">
        <v>239500</v>
      </c>
      <c r="Q13" s="16">
        <v>249300</v>
      </c>
      <c r="R13" s="16">
        <v>249300</v>
      </c>
      <c r="S13" s="16">
        <v>255800</v>
      </c>
      <c r="T13" s="16">
        <v>255800</v>
      </c>
      <c r="U13" s="16">
        <v>255800</v>
      </c>
      <c r="V13" s="16">
        <v>255800</v>
      </c>
      <c r="W13" s="16">
        <v>255800</v>
      </c>
      <c r="X13" s="16">
        <v>255800</v>
      </c>
      <c r="Y13" s="16">
        <v>255800</v>
      </c>
      <c r="Z13" s="16">
        <v>255800</v>
      </c>
      <c r="AA13" s="16">
        <v>255800</v>
      </c>
      <c r="AB13" s="16">
        <v>273800</v>
      </c>
      <c r="AC13" s="16">
        <v>273800</v>
      </c>
      <c r="AD13" s="16">
        <v>281000</v>
      </c>
      <c r="AE13" s="16">
        <v>281000</v>
      </c>
      <c r="AF13" s="16">
        <v>281000</v>
      </c>
      <c r="AG13" s="16">
        <v>281000</v>
      </c>
      <c r="AH13" s="16">
        <v>281000</v>
      </c>
      <c r="AI13" s="16">
        <v>281000</v>
      </c>
      <c r="AJ13" s="16">
        <f t="shared" si="0"/>
        <v>239500</v>
      </c>
      <c r="AK13" s="16">
        <f t="shared" si="1"/>
        <v>255800</v>
      </c>
      <c r="AL13" s="16">
        <f t="shared" si="2"/>
        <v>281000</v>
      </c>
    </row>
    <row r="14" spans="1:40" x14ac:dyDescent="0.2">
      <c r="A14" t="s">
        <v>271</v>
      </c>
      <c r="B14" s="8" t="s">
        <v>270</v>
      </c>
      <c r="C14" s="16">
        <v>-7858.32</v>
      </c>
      <c r="D14" s="16">
        <v>-10477.76</v>
      </c>
      <c r="E14" s="16">
        <v>-13097.2</v>
      </c>
      <c r="F14" s="16">
        <v>-15716.64</v>
      </c>
      <c r="G14" s="16">
        <v>-18577.75</v>
      </c>
      <c r="H14" s="16">
        <v>-21438.86</v>
      </c>
      <c r="I14" s="16">
        <v>-24299.97</v>
      </c>
      <c r="J14" s="16">
        <v>-27161.08</v>
      </c>
      <c r="K14" s="16">
        <v>-30022.19</v>
      </c>
      <c r="L14" s="16">
        <v>-32883.300000000003</v>
      </c>
      <c r="M14" s="16">
        <v>-35744.410000000003</v>
      </c>
      <c r="N14" s="16">
        <v>-38605.519999999997</v>
      </c>
      <c r="O14" s="16">
        <v>-41466.629999999997</v>
      </c>
      <c r="P14" s="16">
        <v>-44327.74</v>
      </c>
      <c r="Q14" s="16">
        <v>-47188.85</v>
      </c>
      <c r="R14" s="16">
        <v>-50213.29</v>
      </c>
      <c r="S14" s="16">
        <v>-53237.73</v>
      </c>
      <c r="T14" s="16">
        <v>-56329.88</v>
      </c>
      <c r="U14" s="16">
        <v>-59422.03</v>
      </c>
      <c r="V14" s="16">
        <v>-62514.18</v>
      </c>
      <c r="W14" s="16">
        <v>-65606.33</v>
      </c>
      <c r="X14" s="16">
        <v>-68698.48</v>
      </c>
      <c r="Y14" s="16">
        <v>-71790.63</v>
      </c>
      <c r="Z14" s="16">
        <v>-74882.78</v>
      </c>
      <c r="AA14" s="16">
        <v>-77974.929999999993</v>
      </c>
      <c r="AB14" s="16">
        <v>-81067.08</v>
      </c>
      <c r="AC14" s="16">
        <v>-84659.23</v>
      </c>
      <c r="AD14" s="16">
        <v>-88251.38</v>
      </c>
      <c r="AE14" s="16">
        <v>-91963.53</v>
      </c>
      <c r="AF14" s="16">
        <v>-95675.68</v>
      </c>
      <c r="AG14" s="16">
        <v>-99387.83</v>
      </c>
      <c r="AH14" s="16">
        <v>-103099.98</v>
      </c>
      <c r="AI14" s="16">
        <v>-106812.13</v>
      </c>
      <c r="AJ14" s="16">
        <f t="shared" si="0"/>
        <v>-38605.519999999997</v>
      </c>
      <c r="AK14" s="16">
        <f t="shared" si="1"/>
        <v>-74882.78</v>
      </c>
      <c r="AL14" s="16">
        <f t="shared" si="2"/>
        <v>-106812.13</v>
      </c>
    </row>
    <row r="15" spans="1:40" x14ac:dyDescent="0.2">
      <c r="A15" s="17" t="s">
        <v>273</v>
      </c>
      <c r="B15" s="17" t="s">
        <v>272</v>
      </c>
      <c r="C15" s="18">
        <f t="shared" ref="C15:AI15" si="4">C13+C14</f>
        <v>217141.68</v>
      </c>
      <c r="D15" s="18">
        <f t="shared" si="4"/>
        <v>214522.23999999999</v>
      </c>
      <c r="E15" s="18">
        <f t="shared" si="4"/>
        <v>211902.8</v>
      </c>
      <c r="F15" s="18">
        <f t="shared" si="4"/>
        <v>223783.36</v>
      </c>
      <c r="G15" s="18">
        <f t="shared" si="4"/>
        <v>220922.25</v>
      </c>
      <c r="H15" s="18">
        <f t="shared" si="4"/>
        <v>218061.14</v>
      </c>
      <c r="I15" s="18">
        <f t="shared" si="4"/>
        <v>215200.03</v>
      </c>
      <c r="J15" s="18">
        <f t="shared" si="4"/>
        <v>212338.91999999998</v>
      </c>
      <c r="K15" s="18">
        <f t="shared" si="4"/>
        <v>209477.81</v>
      </c>
      <c r="L15" s="18">
        <f t="shared" si="4"/>
        <v>206616.7</v>
      </c>
      <c r="M15" s="18">
        <f t="shared" si="4"/>
        <v>203755.59</v>
      </c>
      <c r="N15" s="18">
        <f t="shared" si="4"/>
        <v>200894.48</v>
      </c>
      <c r="O15" s="18">
        <f t="shared" si="4"/>
        <v>198033.37</v>
      </c>
      <c r="P15" s="18">
        <f t="shared" si="4"/>
        <v>195172.26</v>
      </c>
      <c r="Q15" s="18">
        <f t="shared" si="4"/>
        <v>202111.15</v>
      </c>
      <c r="R15" s="18">
        <f t="shared" si="4"/>
        <v>199086.71</v>
      </c>
      <c r="S15" s="18">
        <f t="shared" si="4"/>
        <v>202562.27</v>
      </c>
      <c r="T15" s="18">
        <f t="shared" si="4"/>
        <v>199470.12</v>
      </c>
      <c r="U15" s="18">
        <f t="shared" si="4"/>
        <v>196377.97</v>
      </c>
      <c r="V15" s="18">
        <f t="shared" si="4"/>
        <v>193285.82</v>
      </c>
      <c r="W15" s="18">
        <f t="shared" si="4"/>
        <v>190193.66999999998</v>
      </c>
      <c r="X15" s="18">
        <f t="shared" si="4"/>
        <v>187101.52000000002</v>
      </c>
      <c r="Y15" s="18">
        <f t="shared" si="4"/>
        <v>184009.37</v>
      </c>
      <c r="Z15" s="18">
        <f t="shared" si="4"/>
        <v>180917.22</v>
      </c>
      <c r="AA15" s="18">
        <f t="shared" si="4"/>
        <v>177825.07</v>
      </c>
      <c r="AB15" s="18">
        <f t="shared" si="4"/>
        <v>192732.91999999998</v>
      </c>
      <c r="AC15" s="18">
        <f t="shared" si="4"/>
        <v>189140.77000000002</v>
      </c>
      <c r="AD15" s="18">
        <f t="shared" si="4"/>
        <v>192748.62</v>
      </c>
      <c r="AE15" s="18">
        <f t="shared" si="4"/>
        <v>189036.47</v>
      </c>
      <c r="AF15" s="18">
        <f t="shared" si="4"/>
        <v>185324.32</v>
      </c>
      <c r="AG15" s="18">
        <f t="shared" si="4"/>
        <v>181612.16999999998</v>
      </c>
      <c r="AH15" s="18">
        <f t="shared" si="4"/>
        <v>177900.02000000002</v>
      </c>
      <c r="AI15" s="18">
        <f t="shared" si="4"/>
        <v>174187.87</v>
      </c>
      <c r="AJ15" s="18">
        <f t="shared" si="0"/>
        <v>200894.48</v>
      </c>
      <c r="AK15" s="18">
        <f t="shared" si="1"/>
        <v>180917.22</v>
      </c>
      <c r="AL15" s="18">
        <f t="shared" si="2"/>
        <v>174187.87</v>
      </c>
    </row>
    <row r="16" spans="1:40" x14ac:dyDescent="0.2">
      <c r="A16" s="17" t="s">
        <v>275</v>
      </c>
      <c r="B16" s="17" t="s">
        <v>274</v>
      </c>
      <c r="C16" s="18">
        <f t="shared" ref="C16:AI16" si="5">C12+C15</f>
        <v>934423.03</v>
      </c>
      <c r="D16" s="18">
        <f t="shared" si="5"/>
        <v>913505.65999999992</v>
      </c>
      <c r="E16" s="18">
        <f t="shared" si="5"/>
        <v>1071029.81</v>
      </c>
      <c r="F16" s="18">
        <f t="shared" si="5"/>
        <v>966997.58000000007</v>
      </c>
      <c r="G16" s="18">
        <f t="shared" si="5"/>
        <v>904026.32</v>
      </c>
      <c r="H16" s="18">
        <f t="shared" si="5"/>
        <v>1017108.4400000001</v>
      </c>
      <c r="I16" s="18">
        <f t="shared" si="5"/>
        <v>1073218</v>
      </c>
      <c r="J16" s="18">
        <f t="shared" si="5"/>
        <v>1055771.28</v>
      </c>
      <c r="K16" s="18">
        <f t="shared" si="5"/>
        <v>1045290.26</v>
      </c>
      <c r="L16" s="18">
        <f t="shared" si="5"/>
        <v>917631.88000000012</v>
      </c>
      <c r="M16" s="18">
        <f t="shared" si="5"/>
        <v>857856.28999999992</v>
      </c>
      <c r="N16" s="18">
        <f t="shared" si="5"/>
        <v>871471.02</v>
      </c>
      <c r="O16" s="18">
        <f t="shared" si="5"/>
        <v>793165.43</v>
      </c>
      <c r="P16" s="18">
        <f t="shared" si="5"/>
        <v>767117.71000000008</v>
      </c>
      <c r="Q16" s="18">
        <f t="shared" si="5"/>
        <v>776749.34</v>
      </c>
      <c r="R16" s="18">
        <f t="shared" si="5"/>
        <v>835484.44999999984</v>
      </c>
      <c r="S16" s="18">
        <f t="shared" si="5"/>
        <v>935093.39</v>
      </c>
      <c r="T16" s="18">
        <f t="shared" si="5"/>
        <v>1028122.33</v>
      </c>
      <c r="U16" s="18">
        <f t="shared" si="5"/>
        <v>1044803.84</v>
      </c>
      <c r="V16" s="18">
        <f t="shared" si="5"/>
        <v>985092.07000000007</v>
      </c>
      <c r="W16" s="18">
        <f t="shared" si="5"/>
        <v>981970.05</v>
      </c>
      <c r="X16" s="18">
        <f t="shared" si="5"/>
        <v>917500.12000000011</v>
      </c>
      <c r="Y16" s="18">
        <f t="shared" si="5"/>
        <v>816804.53999999992</v>
      </c>
      <c r="Z16" s="18">
        <f t="shared" si="5"/>
        <v>775076.51</v>
      </c>
      <c r="AA16" s="18">
        <f t="shared" si="5"/>
        <v>714079.3600000001</v>
      </c>
      <c r="AB16" s="18">
        <f t="shared" si="5"/>
        <v>897931.69</v>
      </c>
      <c r="AC16" s="18">
        <f t="shared" si="5"/>
        <v>1028418.23</v>
      </c>
      <c r="AD16" s="18">
        <f t="shared" si="5"/>
        <v>946711.34</v>
      </c>
      <c r="AE16" s="18">
        <f t="shared" si="5"/>
        <v>811824.72999999986</v>
      </c>
      <c r="AF16" s="18">
        <f t="shared" si="5"/>
        <v>954261.45000000019</v>
      </c>
      <c r="AG16" s="18">
        <f t="shared" si="5"/>
        <v>994498.24</v>
      </c>
      <c r="AH16" s="18">
        <f t="shared" si="5"/>
        <v>966420.63</v>
      </c>
      <c r="AI16" s="18">
        <f t="shared" si="5"/>
        <v>929383.07000000007</v>
      </c>
      <c r="AJ16" s="18">
        <f t="shared" si="0"/>
        <v>871471.02</v>
      </c>
      <c r="AK16" s="18">
        <f t="shared" si="1"/>
        <v>775076.51</v>
      </c>
      <c r="AL16" s="18">
        <f t="shared" si="2"/>
        <v>929383.07000000007</v>
      </c>
    </row>
    <row r="17" spans="1:38" x14ac:dyDescent="0.2">
      <c r="A17" t="s">
        <v>277</v>
      </c>
      <c r="B17" s="8" t="s">
        <v>276</v>
      </c>
      <c r="C17" s="16">
        <v>180473.32</v>
      </c>
      <c r="D17" s="16">
        <v>193542.84</v>
      </c>
      <c r="E17" s="16">
        <v>240289.51</v>
      </c>
      <c r="F17" s="16">
        <v>122941.61</v>
      </c>
      <c r="G17" s="16">
        <v>111706.03</v>
      </c>
      <c r="H17" s="16">
        <v>196427.37</v>
      </c>
      <c r="I17" s="16">
        <v>240966.06</v>
      </c>
      <c r="J17" s="16">
        <v>203069.93</v>
      </c>
      <c r="K17" s="16">
        <v>203469.97</v>
      </c>
      <c r="L17" s="16">
        <v>105502.26</v>
      </c>
      <c r="M17" s="16">
        <v>77963.23</v>
      </c>
      <c r="N17" s="16">
        <v>126138.6</v>
      </c>
      <c r="O17" s="16">
        <v>92846.18</v>
      </c>
      <c r="P17" s="16">
        <v>51533.56</v>
      </c>
      <c r="Q17" s="16">
        <v>78145.69</v>
      </c>
      <c r="R17" s="16">
        <v>150294.39999999999</v>
      </c>
      <c r="S17" s="16">
        <v>201316.41</v>
      </c>
      <c r="T17" s="16">
        <v>259089.41</v>
      </c>
      <c r="U17" s="16">
        <v>281334.96000000002</v>
      </c>
      <c r="V17" s="16">
        <v>192438.58</v>
      </c>
      <c r="W17" s="16">
        <v>185722.14</v>
      </c>
      <c r="X17" s="16">
        <v>161754.65</v>
      </c>
      <c r="Y17" s="16">
        <v>96434.1</v>
      </c>
      <c r="Z17" s="16">
        <v>103089.24</v>
      </c>
      <c r="AA17" s="16">
        <v>79602.460000000006</v>
      </c>
      <c r="AB17" s="16">
        <v>146482</v>
      </c>
      <c r="AC17" s="16">
        <v>290567.46999999997</v>
      </c>
      <c r="AD17" s="16">
        <v>138533.29999999999</v>
      </c>
      <c r="AE17" s="16">
        <v>134215.12</v>
      </c>
      <c r="AF17" s="16">
        <v>214392.9</v>
      </c>
      <c r="AG17" s="16">
        <v>254120.63</v>
      </c>
      <c r="AH17" s="16">
        <v>196778.83</v>
      </c>
      <c r="AI17" s="16">
        <v>185924.9</v>
      </c>
      <c r="AJ17" s="16">
        <f t="shared" si="0"/>
        <v>126138.6</v>
      </c>
      <c r="AK17" s="16">
        <f t="shared" si="1"/>
        <v>103089.24</v>
      </c>
      <c r="AL17" s="16">
        <f t="shared" si="2"/>
        <v>185924.9</v>
      </c>
    </row>
    <row r="18" spans="1:38" x14ac:dyDescent="0.2">
      <c r="A18" t="s">
        <v>279</v>
      </c>
      <c r="B18" s="8" t="s">
        <v>278</v>
      </c>
      <c r="C18" s="16">
        <v>15464.69</v>
      </c>
      <c r="D18" s="16">
        <v>15293.54</v>
      </c>
      <c r="E18" s="16">
        <v>18568.2</v>
      </c>
      <c r="F18" s="16">
        <v>25077.43</v>
      </c>
      <c r="G18" s="16">
        <v>26226.2</v>
      </c>
      <c r="H18" s="16">
        <v>25823.55</v>
      </c>
      <c r="I18" s="16">
        <v>25306.19</v>
      </c>
      <c r="J18" s="16">
        <v>26338.85</v>
      </c>
      <c r="K18" s="16">
        <v>24022.68</v>
      </c>
      <c r="L18" s="16">
        <v>20169.41</v>
      </c>
      <c r="M18" s="16">
        <v>17883.45</v>
      </c>
      <c r="N18" s="16">
        <v>17587.990000000002</v>
      </c>
      <c r="O18" s="16">
        <v>17340.37</v>
      </c>
      <c r="P18" s="16">
        <v>16499.97</v>
      </c>
      <c r="Q18" s="16">
        <v>21417.41</v>
      </c>
      <c r="R18" s="16">
        <v>26948.38</v>
      </c>
      <c r="S18" s="16">
        <v>28635.65</v>
      </c>
      <c r="T18" s="16">
        <v>28442.33</v>
      </c>
      <c r="U18" s="16">
        <v>27720.71</v>
      </c>
      <c r="V18" s="16">
        <v>28275.91</v>
      </c>
      <c r="W18" s="16">
        <v>27522.31</v>
      </c>
      <c r="X18" s="16">
        <v>20353.150000000001</v>
      </c>
      <c r="Y18" s="16">
        <v>19825.93</v>
      </c>
      <c r="Z18" s="16">
        <v>20198.919999999998</v>
      </c>
      <c r="AA18" s="16">
        <v>20113.310000000001</v>
      </c>
      <c r="AB18" s="16">
        <v>18984.990000000002</v>
      </c>
      <c r="AC18" s="16">
        <v>21891.61</v>
      </c>
      <c r="AD18" s="16">
        <v>29618.55</v>
      </c>
      <c r="AE18" s="16">
        <v>31301.71</v>
      </c>
      <c r="AF18" s="16">
        <v>32504.65</v>
      </c>
      <c r="AG18" s="16">
        <v>31076.47</v>
      </c>
      <c r="AH18" s="16">
        <v>31501.87</v>
      </c>
      <c r="AI18" s="16">
        <v>30310.02</v>
      </c>
      <c r="AJ18" s="16">
        <f t="shared" si="0"/>
        <v>17587.990000000002</v>
      </c>
      <c r="AK18" s="16">
        <f t="shared" si="1"/>
        <v>20198.919999999998</v>
      </c>
      <c r="AL18" s="16">
        <f t="shared" si="2"/>
        <v>30310.02</v>
      </c>
    </row>
    <row r="19" spans="1:38" x14ac:dyDescent="0.2">
      <c r="A19" t="s">
        <v>281</v>
      </c>
      <c r="B19" s="8" t="s">
        <v>280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108.16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1997.92</v>
      </c>
      <c r="AI19" s="16">
        <v>0</v>
      </c>
      <c r="AJ19" s="16">
        <f t="shared" si="0"/>
        <v>0</v>
      </c>
      <c r="AK19" s="16">
        <f t="shared" si="1"/>
        <v>0</v>
      </c>
      <c r="AL19" s="16">
        <f t="shared" si="2"/>
        <v>0</v>
      </c>
    </row>
    <row r="20" spans="1:38" x14ac:dyDescent="0.2">
      <c r="A20" t="s">
        <v>283</v>
      </c>
      <c r="B20" s="8" t="s">
        <v>282</v>
      </c>
      <c r="C20" s="16">
        <v>0</v>
      </c>
      <c r="D20" s="16">
        <v>0</v>
      </c>
      <c r="E20" s="16">
        <v>0</v>
      </c>
      <c r="F20" s="16">
        <v>8536.66</v>
      </c>
      <c r="G20" s="16">
        <v>23648.74</v>
      </c>
      <c r="H20" s="16">
        <v>31329.39</v>
      </c>
      <c r="I20" s="16">
        <v>5506.95</v>
      </c>
      <c r="J20" s="16">
        <v>9225.59</v>
      </c>
      <c r="K20" s="16">
        <v>9254.6</v>
      </c>
      <c r="L20" s="16">
        <v>2565.91</v>
      </c>
      <c r="M20" s="16">
        <v>3648.65</v>
      </c>
      <c r="N20" s="16">
        <v>2224.29</v>
      </c>
      <c r="O20" s="16">
        <v>0</v>
      </c>
      <c r="P20" s="16">
        <v>0</v>
      </c>
      <c r="Q20" s="16">
        <v>949.89</v>
      </c>
      <c r="R20" s="16">
        <v>10233.129999999999</v>
      </c>
      <c r="S20" s="16">
        <v>18888.310000000001</v>
      </c>
      <c r="T20" s="16">
        <v>23921.02</v>
      </c>
      <c r="U20" s="16">
        <v>2123.3200000000002</v>
      </c>
      <c r="V20" s="16">
        <v>8017.24</v>
      </c>
      <c r="W20" s="16">
        <v>9773.6</v>
      </c>
      <c r="X20" s="16">
        <v>0</v>
      </c>
      <c r="Y20" s="16">
        <v>0</v>
      </c>
      <c r="Z20" s="16">
        <v>0</v>
      </c>
      <c r="AA20" s="16">
        <v>429.72</v>
      </c>
      <c r="AB20" s="16">
        <v>0</v>
      </c>
      <c r="AC20" s="16">
        <v>0</v>
      </c>
      <c r="AD20" s="16">
        <v>6998.61</v>
      </c>
      <c r="AE20" s="16">
        <v>23196.42</v>
      </c>
      <c r="AF20" s="16">
        <v>34194.46</v>
      </c>
      <c r="AG20" s="16">
        <v>6367.58</v>
      </c>
      <c r="AH20" s="16">
        <v>12786.78</v>
      </c>
      <c r="AI20" s="16">
        <v>11736.86</v>
      </c>
      <c r="AJ20" s="16">
        <f t="shared" si="0"/>
        <v>2224.29</v>
      </c>
      <c r="AK20" s="16">
        <f t="shared" si="1"/>
        <v>0</v>
      </c>
      <c r="AL20" s="16">
        <f t="shared" si="2"/>
        <v>11736.86</v>
      </c>
    </row>
    <row r="21" spans="1:38" x14ac:dyDescent="0.2">
      <c r="A21" t="s">
        <v>285</v>
      </c>
      <c r="B21" s="8" t="s">
        <v>284</v>
      </c>
      <c r="C21" s="16">
        <v>0</v>
      </c>
      <c r="D21" s="16">
        <v>0</v>
      </c>
      <c r="E21" s="16">
        <v>133000</v>
      </c>
      <c r="F21" s="16">
        <v>115000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54000</v>
      </c>
      <c r="Q21" s="16">
        <v>54000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159000</v>
      </c>
      <c r="AC21" s="16">
        <v>159000</v>
      </c>
      <c r="AD21" s="16">
        <v>204000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f t="shared" si="0"/>
        <v>0</v>
      </c>
      <c r="AK21" s="16">
        <f t="shared" si="1"/>
        <v>0</v>
      </c>
      <c r="AL21" s="16">
        <f t="shared" si="2"/>
        <v>0</v>
      </c>
    </row>
    <row r="22" spans="1:38" x14ac:dyDescent="0.2">
      <c r="A22" t="s">
        <v>287</v>
      </c>
      <c r="B22" s="8" t="s">
        <v>286</v>
      </c>
      <c r="C22" s="16">
        <v>50000.04</v>
      </c>
      <c r="D22" s="16">
        <v>50000.04</v>
      </c>
      <c r="E22" s="16">
        <v>50000.04</v>
      </c>
      <c r="F22" s="16">
        <v>50000.04</v>
      </c>
      <c r="G22" s="16">
        <v>50000.04</v>
      </c>
      <c r="H22" s="16">
        <v>50000.04</v>
      </c>
      <c r="I22" s="16">
        <v>50000.04</v>
      </c>
      <c r="J22" s="16">
        <v>50000.04</v>
      </c>
      <c r="K22" s="16">
        <v>50000.04</v>
      </c>
      <c r="L22" s="16">
        <v>50000.04</v>
      </c>
      <c r="M22" s="16">
        <v>50000.04</v>
      </c>
      <c r="N22" s="16">
        <v>50000.04</v>
      </c>
      <c r="O22" s="16">
        <v>50000.04</v>
      </c>
      <c r="P22" s="16">
        <v>50000.04</v>
      </c>
      <c r="Q22" s="16">
        <v>50000.04</v>
      </c>
      <c r="R22" s="16">
        <v>50000.04</v>
      </c>
      <c r="S22" s="16">
        <v>50000.04</v>
      </c>
      <c r="T22" s="16">
        <v>50000.04</v>
      </c>
      <c r="U22" s="16">
        <v>50000.04</v>
      </c>
      <c r="V22" s="16">
        <v>50000.04</v>
      </c>
      <c r="W22" s="16">
        <v>50000.04</v>
      </c>
      <c r="X22" s="16">
        <v>50000.04</v>
      </c>
      <c r="Y22" s="16">
        <v>50000.04</v>
      </c>
      <c r="Z22" s="16">
        <v>50000.04</v>
      </c>
      <c r="AA22" s="16">
        <v>50000.04</v>
      </c>
      <c r="AB22" s="16">
        <v>50000.04</v>
      </c>
      <c r="AC22" s="16">
        <v>50000.04</v>
      </c>
      <c r="AD22" s="16">
        <v>50000.04</v>
      </c>
      <c r="AE22" s="16">
        <v>50000.04</v>
      </c>
      <c r="AF22" s="16">
        <v>50000.04</v>
      </c>
      <c r="AG22" s="16">
        <v>50000.04</v>
      </c>
      <c r="AH22" s="16">
        <v>50000.04</v>
      </c>
      <c r="AI22" s="16">
        <v>50000.04</v>
      </c>
      <c r="AJ22" s="16">
        <f t="shared" si="0"/>
        <v>50000.04</v>
      </c>
      <c r="AK22" s="16">
        <f t="shared" si="1"/>
        <v>50000.04</v>
      </c>
      <c r="AL22" s="16">
        <f t="shared" si="2"/>
        <v>50000.04</v>
      </c>
    </row>
    <row r="23" spans="1:38" x14ac:dyDescent="0.2">
      <c r="A23" s="17" t="s">
        <v>289</v>
      </c>
      <c r="B23" s="17" t="s">
        <v>288</v>
      </c>
      <c r="C23" s="18">
        <f t="shared" ref="C23:AI23" si="6">C17+C18+C19+C20+C21+C22</f>
        <v>245938.05000000002</v>
      </c>
      <c r="D23" s="18">
        <f t="shared" si="6"/>
        <v>258836.42</v>
      </c>
      <c r="E23" s="18">
        <f t="shared" si="6"/>
        <v>441857.75</v>
      </c>
      <c r="F23" s="18">
        <f t="shared" si="6"/>
        <v>321555.74</v>
      </c>
      <c r="G23" s="18">
        <f t="shared" si="6"/>
        <v>211581.01</v>
      </c>
      <c r="H23" s="18">
        <f t="shared" si="6"/>
        <v>303580.34999999998</v>
      </c>
      <c r="I23" s="18">
        <f t="shared" si="6"/>
        <v>321779.24</v>
      </c>
      <c r="J23" s="18">
        <f t="shared" si="6"/>
        <v>288742.57</v>
      </c>
      <c r="K23" s="18">
        <f t="shared" si="6"/>
        <v>286747.28999999998</v>
      </c>
      <c r="L23" s="18">
        <f t="shared" si="6"/>
        <v>178237.62</v>
      </c>
      <c r="M23" s="18">
        <f t="shared" si="6"/>
        <v>149495.37</v>
      </c>
      <c r="N23" s="18">
        <f t="shared" si="6"/>
        <v>195950.92</v>
      </c>
      <c r="O23" s="18">
        <f t="shared" si="6"/>
        <v>160186.59</v>
      </c>
      <c r="P23" s="18">
        <f t="shared" si="6"/>
        <v>172033.57</v>
      </c>
      <c r="Q23" s="18">
        <f t="shared" si="6"/>
        <v>204513.03</v>
      </c>
      <c r="R23" s="18">
        <f t="shared" si="6"/>
        <v>237475.95</v>
      </c>
      <c r="S23" s="18">
        <f t="shared" si="6"/>
        <v>298840.40999999997</v>
      </c>
      <c r="T23" s="18">
        <f t="shared" si="6"/>
        <v>361452.79999999999</v>
      </c>
      <c r="U23" s="18">
        <f t="shared" si="6"/>
        <v>361179.03</v>
      </c>
      <c r="V23" s="18">
        <f t="shared" si="6"/>
        <v>278731.76999999996</v>
      </c>
      <c r="W23" s="18">
        <f t="shared" si="6"/>
        <v>273018.09000000003</v>
      </c>
      <c r="X23" s="18">
        <f t="shared" si="6"/>
        <v>232107.84</v>
      </c>
      <c r="Y23" s="18">
        <f t="shared" si="6"/>
        <v>166260.07</v>
      </c>
      <c r="Z23" s="18">
        <f t="shared" si="6"/>
        <v>173288.2</v>
      </c>
      <c r="AA23" s="18">
        <f t="shared" si="6"/>
        <v>150145.53</v>
      </c>
      <c r="AB23" s="18">
        <f t="shared" si="6"/>
        <v>374467.02999999997</v>
      </c>
      <c r="AC23" s="18">
        <f t="shared" si="6"/>
        <v>521459.11999999994</v>
      </c>
      <c r="AD23" s="18">
        <f t="shared" si="6"/>
        <v>429150.49999999994</v>
      </c>
      <c r="AE23" s="18">
        <f t="shared" si="6"/>
        <v>238713.29</v>
      </c>
      <c r="AF23" s="18">
        <f t="shared" si="6"/>
        <v>331092.05</v>
      </c>
      <c r="AG23" s="18">
        <f t="shared" si="6"/>
        <v>341564.72</v>
      </c>
      <c r="AH23" s="18">
        <f t="shared" si="6"/>
        <v>293065.44</v>
      </c>
      <c r="AI23" s="18">
        <f t="shared" si="6"/>
        <v>277971.81999999995</v>
      </c>
      <c r="AJ23" s="18">
        <f t="shared" si="0"/>
        <v>195950.92</v>
      </c>
      <c r="AK23" s="18">
        <f t="shared" si="1"/>
        <v>173288.2</v>
      </c>
      <c r="AL23" s="18">
        <f t="shared" si="2"/>
        <v>277971.81999999995</v>
      </c>
    </row>
    <row r="24" spans="1:38" x14ac:dyDescent="0.2">
      <c r="A24" t="s">
        <v>291</v>
      </c>
      <c r="B24" s="8" t="s">
        <v>290</v>
      </c>
      <c r="C24" s="16">
        <v>195833.29</v>
      </c>
      <c r="D24" s="16">
        <v>191666.62</v>
      </c>
      <c r="E24" s="16">
        <v>187499.95</v>
      </c>
      <c r="F24" s="16">
        <v>183333.28</v>
      </c>
      <c r="G24" s="16">
        <v>179166.61</v>
      </c>
      <c r="H24" s="16">
        <v>174999.94</v>
      </c>
      <c r="I24" s="16">
        <v>170833.27</v>
      </c>
      <c r="J24" s="16">
        <v>166666.6</v>
      </c>
      <c r="K24" s="16">
        <v>162499.93</v>
      </c>
      <c r="L24" s="16">
        <v>158333.26</v>
      </c>
      <c r="M24" s="16">
        <v>154166.59</v>
      </c>
      <c r="N24" s="16">
        <v>149999.92000000001</v>
      </c>
      <c r="O24" s="16">
        <v>145833.25</v>
      </c>
      <c r="P24" s="16">
        <v>141666.57999999999</v>
      </c>
      <c r="Q24" s="16">
        <v>137499.91</v>
      </c>
      <c r="R24" s="16">
        <v>133333.24</v>
      </c>
      <c r="S24" s="16">
        <v>129166.57</v>
      </c>
      <c r="T24" s="16">
        <v>124999.9</v>
      </c>
      <c r="U24" s="16">
        <v>120833.23</v>
      </c>
      <c r="V24" s="16">
        <v>116666.56</v>
      </c>
      <c r="W24" s="16">
        <v>112499.89</v>
      </c>
      <c r="X24" s="16">
        <v>108333.22</v>
      </c>
      <c r="Y24" s="16">
        <v>104166.55</v>
      </c>
      <c r="Z24" s="16">
        <v>99999.88</v>
      </c>
      <c r="AA24" s="16">
        <v>95833.21</v>
      </c>
      <c r="AB24" s="16">
        <v>91666.54</v>
      </c>
      <c r="AC24" s="16">
        <v>87499.87</v>
      </c>
      <c r="AD24" s="16">
        <v>83333.2</v>
      </c>
      <c r="AE24" s="16">
        <v>79166.53</v>
      </c>
      <c r="AF24" s="16">
        <v>74999.86</v>
      </c>
      <c r="AG24" s="16">
        <v>70833.19</v>
      </c>
      <c r="AH24" s="16">
        <v>66666.52</v>
      </c>
      <c r="AI24" s="16">
        <v>62499.85</v>
      </c>
      <c r="AJ24" s="16">
        <f t="shared" si="0"/>
        <v>149999.92000000001</v>
      </c>
      <c r="AK24" s="16">
        <f t="shared" si="1"/>
        <v>99999.88</v>
      </c>
      <c r="AL24" s="16">
        <f t="shared" si="2"/>
        <v>62499.85</v>
      </c>
    </row>
    <row r="25" spans="1:38" x14ac:dyDescent="0.2">
      <c r="A25" s="17" t="s">
        <v>293</v>
      </c>
      <c r="B25" s="17" t="s">
        <v>292</v>
      </c>
      <c r="C25" s="18">
        <f t="shared" ref="C25:AI25" si="7">C23+C24</f>
        <v>441771.34</v>
      </c>
      <c r="D25" s="18">
        <f t="shared" si="7"/>
        <v>450503.04000000004</v>
      </c>
      <c r="E25" s="18">
        <f t="shared" si="7"/>
        <v>629357.69999999995</v>
      </c>
      <c r="F25" s="18">
        <f t="shared" si="7"/>
        <v>504889.02</v>
      </c>
      <c r="G25" s="18">
        <f t="shared" si="7"/>
        <v>390747.62</v>
      </c>
      <c r="H25" s="18">
        <f t="shared" si="7"/>
        <v>478580.29</v>
      </c>
      <c r="I25" s="18">
        <f t="shared" si="7"/>
        <v>492612.51</v>
      </c>
      <c r="J25" s="18">
        <f t="shared" si="7"/>
        <v>455409.17000000004</v>
      </c>
      <c r="K25" s="18">
        <f t="shared" si="7"/>
        <v>449247.22</v>
      </c>
      <c r="L25" s="18">
        <f t="shared" si="7"/>
        <v>336570.88</v>
      </c>
      <c r="M25" s="18">
        <f t="shared" si="7"/>
        <v>303661.95999999996</v>
      </c>
      <c r="N25" s="18">
        <f t="shared" si="7"/>
        <v>345950.84</v>
      </c>
      <c r="O25" s="18">
        <f t="shared" si="7"/>
        <v>306019.83999999997</v>
      </c>
      <c r="P25" s="18">
        <f t="shared" si="7"/>
        <v>313700.15000000002</v>
      </c>
      <c r="Q25" s="18">
        <f t="shared" si="7"/>
        <v>342012.94</v>
      </c>
      <c r="R25" s="18">
        <f t="shared" si="7"/>
        <v>370809.19</v>
      </c>
      <c r="S25" s="18">
        <f t="shared" si="7"/>
        <v>428006.98</v>
      </c>
      <c r="T25" s="18">
        <f t="shared" si="7"/>
        <v>486452.69999999995</v>
      </c>
      <c r="U25" s="18">
        <f t="shared" si="7"/>
        <v>482012.26</v>
      </c>
      <c r="V25" s="18">
        <f t="shared" si="7"/>
        <v>395398.32999999996</v>
      </c>
      <c r="W25" s="18">
        <f t="shared" si="7"/>
        <v>385517.98000000004</v>
      </c>
      <c r="X25" s="18">
        <f t="shared" si="7"/>
        <v>340441.06</v>
      </c>
      <c r="Y25" s="18">
        <f t="shared" si="7"/>
        <v>270426.62</v>
      </c>
      <c r="Z25" s="18">
        <f t="shared" si="7"/>
        <v>273288.08</v>
      </c>
      <c r="AA25" s="18">
        <f t="shared" si="7"/>
        <v>245978.74</v>
      </c>
      <c r="AB25" s="18">
        <f t="shared" si="7"/>
        <v>466133.56999999995</v>
      </c>
      <c r="AC25" s="18">
        <f t="shared" si="7"/>
        <v>608958.99</v>
      </c>
      <c r="AD25" s="18">
        <f t="shared" si="7"/>
        <v>512483.69999999995</v>
      </c>
      <c r="AE25" s="18">
        <f t="shared" si="7"/>
        <v>317879.82</v>
      </c>
      <c r="AF25" s="18">
        <f t="shared" si="7"/>
        <v>406091.91</v>
      </c>
      <c r="AG25" s="18">
        <f t="shared" si="7"/>
        <v>412397.91</v>
      </c>
      <c r="AH25" s="18">
        <f t="shared" si="7"/>
        <v>359731.96</v>
      </c>
      <c r="AI25" s="18">
        <f t="shared" si="7"/>
        <v>340471.66999999993</v>
      </c>
      <c r="AJ25" s="18">
        <f t="shared" si="0"/>
        <v>345950.84</v>
      </c>
      <c r="AK25" s="18">
        <f t="shared" si="1"/>
        <v>273288.08</v>
      </c>
      <c r="AL25" s="18">
        <f t="shared" si="2"/>
        <v>340471.66999999993</v>
      </c>
    </row>
    <row r="26" spans="1:38" x14ac:dyDescent="0.2">
      <c r="A26" t="s">
        <v>295</v>
      </c>
      <c r="B26" s="8" t="s">
        <v>294</v>
      </c>
      <c r="C26" s="16">
        <v>600000</v>
      </c>
      <c r="D26" s="16">
        <v>600000</v>
      </c>
      <c r="E26" s="16">
        <v>600000</v>
      </c>
      <c r="F26" s="16">
        <v>600000</v>
      </c>
      <c r="G26" s="16">
        <v>600000</v>
      </c>
      <c r="H26" s="16">
        <v>600000</v>
      </c>
      <c r="I26" s="16">
        <v>600000</v>
      </c>
      <c r="J26" s="16">
        <v>600000</v>
      </c>
      <c r="K26" s="16">
        <v>600000</v>
      </c>
      <c r="L26" s="16">
        <v>600000</v>
      </c>
      <c r="M26" s="16">
        <v>600000</v>
      </c>
      <c r="N26" s="16">
        <v>600000</v>
      </c>
      <c r="O26" s="16">
        <v>600000</v>
      </c>
      <c r="P26" s="16">
        <v>600000</v>
      </c>
      <c r="Q26" s="16">
        <v>600000</v>
      </c>
      <c r="R26" s="16">
        <v>600000</v>
      </c>
      <c r="S26" s="16">
        <v>600000</v>
      </c>
      <c r="T26" s="16">
        <v>600000</v>
      </c>
      <c r="U26" s="16">
        <v>600000</v>
      </c>
      <c r="V26" s="16">
        <v>600000</v>
      </c>
      <c r="W26" s="16">
        <v>600000</v>
      </c>
      <c r="X26" s="16">
        <v>600000</v>
      </c>
      <c r="Y26" s="16">
        <v>600000</v>
      </c>
      <c r="Z26" s="16">
        <v>600000</v>
      </c>
      <c r="AA26" s="16">
        <v>600000</v>
      </c>
      <c r="AB26" s="16">
        <v>600000</v>
      </c>
      <c r="AC26" s="16">
        <v>600000</v>
      </c>
      <c r="AD26" s="16">
        <v>600000</v>
      </c>
      <c r="AE26" s="16">
        <v>600000</v>
      </c>
      <c r="AF26" s="16">
        <v>600000</v>
      </c>
      <c r="AG26" s="16">
        <v>600000</v>
      </c>
      <c r="AH26" s="16">
        <v>600000</v>
      </c>
      <c r="AI26" s="16">
        <v>600000</v>
      </c>
      <c r="AJ26" s="16">
        <f t="shared" si="0"/>
        <v>600000</v>
      </c>
      <c r="AK26" s="16">
        <f t="shared" si="1"/>
        <v>600000</v>
      </c>
      <c r="AL26" s="16">
        <f t="shared" si="2"/>
        <v>600000</v>
      </c>
    </row>
    <row r="27" spans="1:38" x14ac:dyDescent="0.2">
      <c r="A27" t="s">
        <v>297</v>
      </c>
      <c r="B27" s="8" t="s">
        <v>296</v>
      </c>
      <c r="C27" s="16">
        <v>-63638.879999999997</v>
      </c>
      <c r="D27" s="16">
        <v>-63638.879999999997</v>
      </c>
      <c r="E27" s="16">
        <v>-63638.879999999997</v>
      </c>
      <c r="F27" s="16">
        <v>-63638.879999999997</v>
      </c>
      <c r="G27" s="16">
        <v>-63638.879999999997</v>
      </c>
      <c r="H27" s="16">
        <v>-63638.879999999997</v>
      </c>
      <c r="I27" s="16">
        <v>-63638.879999999997</v>
      </c>
      <c r="J27" s="16">
        <v>-63638.879999999997</v>
      </c>
      <c r="K27" s="16">
        <v>-63638.879999999997</v>
      </c>
      <c r="L27" s="16">
        <v>-63638.879999999997</v>
      </c>
      <c r="M27" s="16">
        <v>-63638.879999999997</v>
      </c>
      <c r="N27" s="16">
        <v>-74479.820000000007</v>
      </c>
      <c r="O27" s="16">
        <v>-74479.820000000007</v>
      </c>
      <c r="P27" s="16">
        <v>-74479.820000000007</v>
      </c>
      <c r="Q27" s="16">
        <v>-74479.820000000007</v>
      </c>
      <c r="R27" s="16">
        <v>-74479.820000000007</v>
      </c>
      <c r="S27" s="16">
        <v>-74479.820000000007</v>
      </c>
      <c r="T27" s="16">
        <v>-74479.820000000007</v>
      </c>
      <c r="U27" s="16">
        <v>-74479.820000000007</v>
      </c>
      <c r="V27" s="16">
        <v>-74479.820000000007</v>
      </c>
      <c r="W27" s="16">
        <v>-74479.820000000007</v>
      </c>
      <c r="X27" s="16">
        <v>-74479.820000000007</v>
      </c>
      <c r="Y27" s="16">
        <v>-74479.820000000007</v>
      </c>
      <c r="Z27" s="16">
        <v>-98211.57</v>
      </c>
      <c r="AA27" s="16">
        <v>-98211.57</v>
      </c>
      <c r="AB27" s="16">
        <v>-98211.57</v>
      </c>
      <c r="AC27" s="16">
        <v>-98211.57</v>
      </c>
      <c r="AD27" s="16">
        <v>-98211.57</v>
      </c>
      <c r="AE27" s="16">
        <v>-98211.57</v>
      </c>
      <c r="AF27" s="16">
        <v>-98211.57</v>
      </c>
      <c r="AG27" s="16">
        <v>-98211.57</v>
      </c>
      <c r="AH27" s="16">
        <v>-98211.57</v>
      </c>
      <c r="AI27" s="16">
        <v>-98211.57</v>
      </c>
      <c r="AJ27" s="16">
        <f t="shared" si="0"/>
        <v>-74479.820000000007</v>
      </c>
      <c r="AK27" s="16">
        <f t="shared" si="1"/>
        <v>-98211.57</v>
      </c>
      <c r="AL27" s="16">
        <f t="shared" si="2"/>
        <v>-98211.57</v>
      </c>
    </row>
    <row r="28" spans="1:38" x14ac:dyDescent="0.2">
      <c r="A28" t="s">
        <v>299</v>
      </c>
      <c r="B28" s="8" t="s">
        <v>298</v>
      </c>
      <c r="C28" s="16">
        <v>-43709.43</v>
      </c>
      <c r="D28" s="16">
        <v>-73358.5</v>
      </c>
      <c r="E28" s="16">
        <v>-94689.01</v>
      </c>
      <c r="F28" s="16">
        <v>-74252.56</v>
      </c>
      <c r="G28" s="16">
        <v>-23082.42</v>
      </c>
      <c r="H28" s="16">
        <v>2167.0300000000002</v>
      </c>
      <c r="I28" s="16">
        <v>44244.37</v>
      </c>
      <c r="J28" s="16">
        <v>64000.99</v>
      </c>
      <c r="K28" s="16">
        <v>59681.919999999998</v>
      </c>
      <c r="L28" s="16">
        <v>44699.88</v>
      </c>
      <c r="M28" s="16">
        <v>17833.21</v>
      </c>
      <c r="N28" s="16">
        <v>0</v>
      </c>
      <c r="O28" s="16">
        <v>-38374.589999999997</v>
      </c>
      <c r="P28" s="16">
        <v>-72102.62</v>
      </c>
      <c r="Q28" s="16">
        <v>-90783.78</v>
      </c>
      <c r="R28" s="16">
        <v>-60844.92</v>
      </c>
      <c r="S28" s="16">
        <v>-18433.77</v>
      </c>
      <c r="T28" s="16">
        <v>16149.45</v>
      </c>
      <c r="U28" s="16">
        <v>37271.4</v>
      </c>
      <c r="V28" s="16">
        <v>64173.56</v>
      </c>
      <c r="W28" s="16">
        <v>70931.89</v>
      </c>
      <c r="X28" s="16">
        <v>51538.879999999997</v>
      </c>
      <c r="Y28" s="16">
        <v>20857.740000000002</v>
      </c>
      <c r="Z28" s="16">
        <v>0</v>
      </c>
      <c r="AA28" s="16">
        <v>-33687.81</v>
      </c>
      <c r="AB28" s="16">
        <v>-69990.31</v>
      </c>
      <c r="AC28" s="16">
        <v>-82329.19</v>
      </c>
      <c r="AD28" s="16">
        <v>-67560.789999999994</v>
      </c>
      <c r="AE28" s="16">
        <v>-7843.52</v>
      </c>
      <c r="AF28" s="16">
        <v>46381.11</v>
      </c>
      <c r="AG28" s="16">
        <v>80311.899999999994</v>
      </c>
      <c r="AH28" s="16">
        <v>104900.24</v>
      </c>
      <c r="AI28" s="16">
        <v>87122.97</v>
      </c>
      <c r="AJ28" s="16">
        <f t="shared" si="0"/>
        <v>0</v>
      </c>
      <c r="AK28" s="16">
        <f t="shared" si="1"/>
        <v>0</v>
      </c>
      <c r="AL28" s="16">
        <f t="shared" si="2"/>
        <v>87122.97</v>
      </c>
    </row>
    <row r="29" spans="1:38" x14ac:dyDescent="0.2">
      <c r="A29" s="17" t="s">
        <v>301</v>
      </c>
      <c r="B29" s="17" t="s">
        <v>300</v>
      </c>
      <c r="C29" s="18">
        <f t="shared" ref="C29:AI29" si="8">C26+C27+C28</f>
        <v>492651.69</v>
      </c>
      <c r="D29" s="18">
        <f t="shared" si="8"/>
        <v>463002.62</v>
      </c>
      <c r="E29" s="18">
        <f t="shared" si="8"/>
        <v>441672.11</v>
      </c>
      <c r="F29" s="18">
        <f t="shared" si="8"/>
        <v>462108.56</v>
      </c>
      <c r="G29" s="18">
        <f t="shared" si="8"/>
        <v>513278.7</v>
      </c>
      <c r="H29" s="18">
        <f t="shared" si="8"/>
        <v>538528.15</v>
      </c>
      <c r="I29" s="18">
        <f t="shared" si="8"/>
        <v>580605.49</v>
      </c>
      <c r="J29" s="18">
        <f t="shared" si="8"/>
        <v>600362.11</v>
      </c>
      <c r="K29" s="18">
        <f t="shared" si="8"/>
        <v>596043.04</v>
      </c>
      <c r="L29" s="18">
        <f t="shared" si="8"/>
        <v>581061</v>
      </c>
      <c r="M29" s="18">
        <f t="shared" si="8"/>
        <v>554194.32999999996</v>
      </c>
      <c r="N29" s="18">
        <f t="shared" si="8"/>
        <v>525520.17999999993</v>
      </c>
      <c r="O29" s="18">
        <f t="shared" si="8"/>
        <v>487145.58999999997</v>
      </c>
      <c r="P29" s="18">
        <f t="shared" si="8"/>
        <v>453417.55999999994</v>
      </c>
      <c r="Q29" s="18">
        <f t="shared" si="8"/>
        <v>434736.39999999991</v>
      </c>
      <c r="R29" s="18">
        <f t="shared" si="8"/>
        <v>464675.25999999995</v>
      </c>
      <c r="S29" s="18">
        <f t="shared" si="8"/>
        <v>507086.40999999992</v>
      </c>
      <c r="T29" s="18">
        <f t="shared" si="8"/>
        <v>541669.62999999989</v>
      </c>
      <c r="U29" s="18">
        <f t="shared" si="8"/>
        <v>562791.57999999996</v>
      </c>
      <c r="V29" s="18">
        <f t="shared" si="8"/>
        <v>589693.74</v>
      </c>
      <c r="W29" s="18">
        <f t="shared" si="8"/>
        <v>596452.06999999995</v>
      </c>
      <c r="X29" s="18">
        <f t="shared" si="8"/>
        <v>577059.05999999994</v>
      </c>
      <c r="Y29" s="18">
        <f t="shared" si="8"/>
        <v>546377.91999999993</v>
      </c>
      <c r="Z29" s="18">
        <f t="shared" si="8"/>
        <v>501788.43</v>
      </c>
      <c r="AA29" s="18">
        <f t="shared" si="8"/>
        <v>468100.62</v>
      </c>
      <c r="AB29" s="18">
        <f t="shared" si="8"/>
        <v>431798.12</v>
      </c>
      <c r="AC29" s="18">
        <f t="shared" si="8"/>
        <v>419459.24</v>
      </c>
      <c r="AD29" s="18">
        <f t="shared" si="8"/>
        <v>434227.64</v>
      </c>
      <c r="AE29" s="18">
        <f t="shared" si="8"/>
        <v>493944.91</v>
      </c>
      <c r="AF29" s="18">
        <f t="shared" si="8"/>
        <v>548169.54</v>
      </c>
      <c r="AG29" s="18">
        <f t="shared" si="8"/>
        <v>582100.32999999996</v>
      </c>
      <c r="AH29" s="18">
        <f t="shared" si="8"/>
        <v>606688.67000000004</v>
      </c>
      <c r="AI29" s="18">
        <f t="shared" si="8"/>
        <v>588911.4</v>
      </c>
      <c r="AJ29" s="18">
        <f t="shared" si="0"/>
        <v>525520.17999999993</v>
      </c>
      <c r="AK29" s="18">
        <f t="shared" si="1"/>
        <v>501788.43</v>
      </c>
      <c r="AL29" s="18">
        <f t="shared" si="2"/>
        <v>588911.4</v>
      </c>
    </row>
    <row r="30" spans="1:38" x14ac:dyDescent="0.2">
      <c r="A30" s="17" t="s">
        <v>303</v>
      </c>
      <c r="B30" s="17" t="s">
        <v>302</v>
      </c>
      <c r="C30" s="18">
        <f t="shared" ref="C30:AI30" si="9">C25+C29</f>
        <v>934423.03</v>
      </c>
      <c r="D30" s="18">
        <f t="shared" si="9"/>
        <v>913505.66</v>
      </c>
      <c r="E30" s="18">
        <f t="shared" si="9"/>
        <v>1071029.81</v>
      </c>
      <c r="F30" s="18">
        <f t="shared" si="9"/>
        <v>966997.58000000007</v>
      </c>
      <c r="G30" s="18">
        <f t="shared" si="9"/>
        <v>904026.32000000007</v>
      </c>
      <c r="H30" s="18">
        <f t="shared" si="9"/>
        <v>1017108.44</v>
      </c>
      <c r="I30" s="18">
        <f t="shared" si="9"/>
        <v>1073218</v>
      </c>
      <c r="J30" s="18">
        <f t="shared" si="9"/>
        <v>1055771.28</v>
      </c>
      <c r="K30" s="18">
        <f t="shared" si="9"/>
        <v>1045290.26</v>
      </c>
      <c r="L30" s="18">
        <f t="shared" si="9"/>
        <v>917631.88</v>
      </c>
      <c r="M30" s="18">
        <f t="shared" si="9"/>
        <v>857856.28999999992</v>
      </c>
      <c r="N30" s="18">
        <f t="shared" si="9"/>
        <v>871471.02</v>
      </c>
      <c r="O30" s="18">
        <f t="shared" si="9"/>
        <v>793165.42999999993</v>
      </c>
      <c r="P30" s="18">
        <f t="shared" si="9"/>
        <v>767117.71</v>
      </c>
      <c r="Q30" s="18">
        <f t="shared" si="9"/>
        <v>776749.33999999985</v>
      </c>
      <c r="R30" s="18">
        <f t="shared" si="9"/>
        <v>835484.45</v>
      </c>
      <c r="S30" s="18">
        <f t="shared" si="9"/>
        <v>935093.3899999999</v>
      </c>
      <c r="T30" s="18">
        <f t="shared" si="9"/>
        <v>1028122.3299999998</v>
      </c>
      <c r="U30" s="18">
        <f t="shared" si="9"/>
        <v>1044803.84</v>
      </c>
      <c r="V30" s="18">
        <f t="shared" si="9"/>
        <v>985092.07</v>
      </c>
      <c r="W30" s="18">
        <f t="shared" si="9"/>
        <v>981970.05</v>
      </c>
      <c r="X30" s="18">
        <f t="shared" si="9"/>
        <v>917500.11999999988</v>
      </c>
      <c r="Y30" s="18">
        <f t="shared" si="9"/>
        <v>816804.53999999992</v>
      </c>
      <c r="Z30" s="18">
        <f t="shared" si="9"/>
        <v>775076.51</v>
      </c>
      <c r="AA30" s="18">
        <f t="shared" si="9"/>
        <v>714079.36</v>
      </c>
      <c r="AB30" s="18">
        <f t="shared" si="9"/>
        <v>897931.69</v>
      </c>
      <c r="AC30" s="18">
        <f t="shared" si="9"/>
        <v>1028418.23</v>
      </c>
      <c r="AD30" s="18">
        <f t="shared" si="9"/>
        <v>946711.34</v>
      </c>
      <c r="AE30" s="18">
        <f t="shared" si="9"/>
        <v>811824.73</v>
      </c>
      <c r="AF30" s="18">
        <f t="shared" si="9"/>
        <v>954261.45</v>
      </c>
      <c r="AG30" s="18">
        <f t="shared" si="9"/>
        <v>994498.24</v>
      </c>
      <c r="AH30" s="18">
        <f t="shared" si="9"/>
        <v>966420.63000000012</v>
      </c>
      <c r="AI30" s="18">
        <f t="shared" si="9"/>
        <v>929383.07</v>
      </c>
      <c r="AJ30" s="18">
        <f t="shared" si="0"/>
        <v>871471.02</v>
      </c>
      <c r="AK30" s="18">
        <f t="shared" si="1"/>
        <v>775076.51</v>
      </c>
      <c r="AL30" s="18">
        <f t="shared" si="2"/>
        <v>929383.07</v>
      </c>
    </row>
    <row r="31" spans="1:38" x14ac:dyDescent="0.2">
      <c r="A31" s="17" t="s">
        <v>477</v>
      </c>
      <c r="B31" s="17" t="s">
        <v>478</v>
      </c>
      <c r="C31" s="18">
        <f t="shared" ref="C31:AI31" si="10">ROUND(C16-C30,2)</f>
        <v>0</v>
      </c>
      <c r="D31" s="18">
        <f t="shared" si="10"/>
        <v>0</v>
      </c>
      <c r="E31" s="18">
        <f t="shared" si="10"/>
        <v>0</v>
      </c>
      <c r="F31" s="18">
        <f t="shared" si="10"/>
        <v>0</v>
      </c>
      <c r="G31" s="18">
        <f t="shared" si="10"/>
        <v>0</v>
      </c>
      <c r="H31" s="18">
        <f t="shared" si="10"/>
        <v>0</v>
      </c>
      <c r="I31" s="18">
        <f t="shared" si="10"/>
        <v>0</v>
      </c>
      <c r="J31" s="18">
        <f t="shared" si="10"/>
        <v>0</v>
      </c>
      <c r="K31" s="18">
        <f t="shared" si="10"/>
        <v>0</v>
      </c>
      <c r="L31" s="18">
        <f t="shared" si="10"/>
        <v>0</v>
      </c>
      <c r="M31" s="18">
        <f t="shared" si="10"/>
        <v>0</v>
      </c>
      <c r="N31" s="18">
        <f t="shared" si="10"/>
        <v>0</v>
      </c>
      <c r="O31" s="18">
        <f t="shared" si="10"/>
        <v>0</v>
      </c>
      <c r="P31" s="18">
        <f t="shared" si="10"/>
        <v>0</v>
      </c>
      <c r="Q31" s="18">
        <f t="shared" si="10"/>
        <v>0</v>
      </c>
      <c r="R31" s="18">
        <f t="shared" si="10"/>
        <v>0</v>
      </c>
      <c r="S31" s="18">
        <f t="shared" si="10"/>
        <v>0</v>
      </c>
      <c r="T31" s="18">
        <f t="shared" si="10"/>
        <v>0</v>
      </c>
      <c r="U31" s="18">
        <f t="shared" si="10"/>
        <v>0</v>
      </c>
      <c r="V31" s="18">
        <f t="shared" si="10"/>
        <v>0</v>
      </c>
      <c r="W31" s="18">
        <f t="shared" si="10"/>
        <v>0</v>
      </c>
      <c r="X31" s="18">
        <f t="shared" si="10"/>
        <v>0</v>
      </c>
      <c r="Y31" s="18">
        <f t="shared" si="10"/>
        <v>0</v>
      </c>
      <c r="Z31" s="18">
        <f t="shared" si="10"/>
        <v>0</v>
      </c>
      <c r="AA31" s="18">
        <f t="shared" si="10"/>
        <v>0</v>
      </c>
      <c r="AB31" s="18">
        <f t="shared" si="10"/>
        <v>0</v>
      </c>
      <c r="AC31" s="18">
        <f t="shared" si="10"/>
        <v>0</v>
      </c>
      <c r="AD31" s="18">
        <f t="shared" si="10"/>
        <v>0</v>
      </c>
      <c r="AE31" s="18">
        <f t="shared" si="10"/>
        <v>0</v>
      </c>
      <c r="AF31" s="18">
        <f t="shared" si="10"/>
        <v>0</v>
      </c>
      <c r="AG31" s="18">
        <f t="shared" si="10"/>
        <v>0</v>
      </c>
      <c r="AH31" s="18">
        <f t="shared" si="10"/>
        <v>0</v>
      </c>
      <c r="AI31" s="18">
        <f t="shared" si="10"/>
        <v>0</v>
      </c>
      <c r="AJ31" s="18">
        <f t="shared" si="0"/>
        <v>0</v>
      </c>
      <c r="AK31" s="18">
        <f t="shared" si="1"/>
        <v>0</v>
      </c>
      <c r="AL31" s="18">
        <f t="shared" si="2"/>
        <v>0</v>
      </c>
    </row>
  </sheetData>
  <mergeCells count="1">
    <mergeCell ref="A1:A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31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2" customWidth="1"/>
    <col min="2" max="2" width="11" customWidth="1"/>
    <col min="3" max="38" width="11.5" customWidth="1"/>
  </cols>
  <sheetData>
    <row r="1" spans="1:40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ht="19" customHeight="1" x14ac:dyDescent="0.25">
      <c r="A2" s="1" t="s">
        <v>479</v>
      </c>
    </row>
    <row r="3" spans="1:40" x14ac:dyDescent="0.2">
      <c r="A3" s="2" t="s">
        <v>439</v>
      </c>
    </row>
    <row r="5" spans="1:40" ht="32" customHeight="1" x14ac:dyDescent="0.2">
      <c r="A5" s="6" t="s">
        <v>137</v>
      </c>
      <c r="B5" s="7" t="s">
        <v>28</v>
      </c>
      <c r="C5" s="7" t="s">
        <v>440</v>
      </c>
      <c r="D5" s="7" t="s">
        <v>441</v>
      </c>
      <c r="E5" s="7" t="s">
        <v>442</v>
      </c>
      <c r="F5" s="7" t="s">
        <v>443</v>
      </c>
      <c r="G5" s="7" t="s">
        <v>444</v>
      </c>
      <c r="H5" s="7" t="s">
        <v>445</v>
      </c>
      <c r="I5" s="7" t="s">
        <v>446</v>
      </c>
      <c r="J5" s="7" t="s">
        <v>447</v>
      </c>
      <c r="K5" s="7" t="s">
        <v>448</v>
      </c>
      <c r="L5" s="7" t="s">
        <v>449</v>
      </c>
      <c r="M5" s="7" t="s">
        <v>450</v>
      </c>
      <c r="N5" s="7" t="s">
        <v>451</v>
      </c>
      <c r="O5" s="7" t="s">
        <v>452</v>
      </c>
      <c r="P5" s="7" t="s">
        <v>453</v>
      </c>
      <c r="Q5" s="7" t="s">
        <v>454</v>
      </c>
      <c r="R5" s="7" t="s">
        <v>455</v>
      </c>
      <c r="S5" s="7" t="s">
        <v>456</v>
      </c>
      <c r="T5" s="7" t="s">
        <v>457</v>
      </c>
      <c r="U5" s="7" t="s">
        <v>458</v>
      </c>
      <c r="V5" s="7" t="s">
        <v>459</v>
      </c>
      <c r="W5" s="7" t="s">
        <v>460</v>
      </c>
      <c r="X5" s="7" t="s">
        <v>461</v>
      </c>
      <c r="Y5" s="7" t="s">
        <v>462</v>
      </c>
      <c r="Z5" s="7" t="s">
        <v>463</v>
      </c>
      <c r="AA5" s="7" t="s">
        <v>464</v>
      </c>
      <c r="AB5" s="7" t="s">
        <v>465</v>
      </c>
      <c r="AC5" s="7" t="s">
        <v>466</v>
      </c>
      <c r="AD5" s="7" t="s">
        <v>467</v>
      </c>
      <c r="AE5" s="7" t="s">
        <v>468</v>
      </c>
      <c r="AF5" s="7" t="s">
        <v>469</v>
      </c>
      <c r="AG5" s="7" t="s">
        <v>470</v>
      </c>
      <c r="AH5" s="7" t="s">
        <v>471</v>
      </c>
      <c r="AI5" s="7" t="s">
        <v>472</v>
      </c>
      <c r="AJ5" s="7" t="s">
        <v>473</v>
      </c>
      <c r="AK5" s="7" t="s">
        <v>474</v>
      </c>
      <c r="AL5" s="7" t="s">
        <v>475</v>
      </c>
    </row>
    <row r="6" spans="1:40" x14ac:dyDescent="0.2">
      <c r="A6" t="s">
        <v>252</v>
      </c>
      <c r="B6" s="8" t="s">
        <v>251</v>
      </c>
      <c r="C6" s="16">
        <v>-43709.43</v>
      </c>
      <c r="D6" s="16">
        <v>-29649.07</v>
      </c>
      <c r="E6" s="16">
        <v>-21330.51</v>
      </c>
      <c r="F6" s="16">
        <v>20436.45</v>
      </c>
      <c r="G6" s="16">
        <v>51170.14</v>
      </c>
      <c r="H6" s="16">
        <v>25249.45</v>
      </c>
      <c r="I6" s="16">
        <v>42077.34</v>
      </c>
      <c r="J6" s="16">
        <v>19756.62</v>
      </c>
      <c r="K6" s="16">
        <v>-4319.07</v>
      </c>
      <c r="L6" s="16">
        <v>-14982.04</v>
      </c>
      <c r="M6" s="16">
        <v>-26866.67</v>
      </c>
      <c r="N6" s="16">
        <v>-28674.15</v>
      </c>
      <c r="O6" s="16">
        <v>-38374.589999999997</v>
      </c>
      <c r="P6" s="16">
        <v>-33728.03</v>
      </c>
      <c r="Q6" s="16">
        <v>-18681.16</v>
      </c>
      <c r="R6" s="16">
        <v>29938.86</v>
      </c>
      <c r="S6" s="16">
        <v>42411.15</v>
      </c>
      <c r="T6" s="16">
        <v>34583.22</v>
      </c>
      <c r="U6" s="16">
        <v>21121.95</v>
      </c>
      <c r="V6" s="16">
        <v>26902.16</v>
      </c>
      <c r="W6" s="16">
        <v>6758.33</v>
      </c>
      <c r="X6" s="16">
        <v>-19393.009999999998</v>
      </c>
      <c r="Y6" s="16">
        <v>-30681.14</v>
      </c>
      <c r="Z6" s="16">
        <v>-44589.49</v>
      </c>
      <c r="AA6" s="16">
        <v>-33687.81</v>
      </c>
      <c r="AB6" s="16">
        <v>-36302.5</v>
      </c>
      <c r="AC6" s="16">
        <v>-12338.88</v>
      </c>
      <c r="AD6" s="16">
        <v>14768.4</v>
      </c>
      <c r="AE6" s="16">
        <v>59717.27</v>
      </c>
      <c r="AF6" s="16">
        <v>54224.63</v>
      </c>
      <c r="AG6" s="16">
        <v>33930.79</v>
      </c>
      <c r="AH6" s="16">
        <v>24588.34</v>
      </c>
      <c r="AI6" s="16">
        <v>-17777.27</v>
      </c>
      <c r="AJ6" s="16">
        <f t="shared" ref="AJ6:AJ27" si="0">SUM(C6:N6)</f>
        <v>-10840.94000000001</v>
      </c>
      <c r="AK6" s="16">
        <f t="shared" ref="AK6:AK27" si="1">SUM(O6:Z6)</f>
        <v>-23731.749999999978</v>
      </c>
      <c r="AL6" s="16">
        <f t="shared" ref="AL6:AL27" si="2">SUM(AA6:AI6)</f>
        <v>87122.969999999987</v>
      </c>
    </row>
    <row r="7" spans="1:40" x14ac:dyDescent="0.2">
      <c r="A7" t="s">
        <v>242</v>
      </c>
      <c r="B7" s="8" t="s">
        <v>241</v>
      </c>
      <c r="C7" s="16">
        <v>2619.44</v>
      </c>
      <c r="D7" s="16">
        <v>2619.44</v>
      </c>
      <c r="E7" s="16">
        <v>2619.44</v>
      </c>
      <c r="F7" s="16">
        <v>2619.44</v>
      </c>
      <c r="G7" s="16">
        <v>2861.11</v>
      </c>
      <c r="H7" s="16">
        <v>2861.11</v>
      </c>
      <c r="I7" s="16">
        <v>2861.11</v>
      </c>
      <c r="J7" s="16">
        <v>2861.11</v>
      </c>
      <c r="K7" s="16">
        <v>2861.11</v>
      </c>
      <c r="L7" s="16">
        <v>2861.11</v>
      </c>
      <c r="M7" s="16">
        <v>2861.11</v>
      </c>
      <c r="N7" s="16">
        <v>2861.11</v>
      </c>
      <c r="O7" s="16">
        <v>2861.11</v>
      </c>
      <c r="P7" s="16">
        <v>2861.11</v>
      </c>
      <c r="Q7" s="16">
        <v>2861.11</v>
      </c>
      <c r="R7" s="16">
        <v>3024.44</v>
      </c>
      <c r="S7" s="16">
        <v>3024.44</v>
      </c>
      <c r="T7" s="16">
        <v>3092.15</v>
      </c>
      <c r="U7" s="16">
        <v>3092.15</v>
      </c>
      <c r="V7" s="16">
        <v>3092.15</v>
      </c>
      <c r="W7" s="16">
        <v>3092.15</v>
      </c>
      <c r="X7" s="16">
        <v>3092.15</v>
      </c>
      <c r="Y7" s="16">
        <v>3092.15</v>
      </c>
      <c r="Z7" s="16">
        <v>3092.15</v>
      </c>
      <c r="AA7" s="16">
        <v>3092.15</v>
      </c>
      <c r="AB7" s="16">
        <v>3092.15</v>
      </c>
      <c r="AC7" s="16">
        <v>3592.15</v>
      </c>
      <c r="AD7" s="16">
        <v>3592.15</v>
      </c>
      <c r="AE7" s="16">
        <v>3712.15</v>
      </c>
      <c r="AF7" s="16">
        <v>3712.15</v>
      </c>
      <c r="AG7" s="16">
        <v>3712.15</v>
      </c>
      <c r="AH7" s="16">
        <v>3712.15</v>
      </c>
      <c r="AI7" s="16">
        <v>3712.15</v>
      </c>
      <c r="AJ7" s="16">
        <f t="shared" si="0"/>
        <v>33366.639999999999</v>
      </c>
      <c r="AK7" s="16">
        <f t="shared" si="1"/>
        <v>36277.260000000009</v>
      </c>
      <c r="AL7" s="16">
        <f t="shared" si="2"/>
        <v>31929.350000000006</v>
      </c>
    </row>
    <row r="8" spans="1:40" x14ac:dyDescent="0.2">
      <c r="A8" t="s">
        <v>308</v>
      </c>
      <c r="B8" s="8" t="s">
        <v>307</v>
      </c>
      <c r="C8" s="16">
        <v>-9664.48</v>
      </c>
      <c r="D8" s="16">
        <v>2102.5500000000002</v>
      </c>
      <c r="E8" s="16">
        <v>2890.1</v>
      </c>
      <c r="F8" s="16">
        <v>-30615.38</v>
      </c>
      <c r="G8" s="16">
        <v>-11745.99</v>
      </c>
      <c r="H8" s="16">
        <v>31318.21</v>
      </c>
      <c r="I8" s="16">
        <v>-16677.78</v>
      </c>
      <c r="J8" s="16">
        <v>-9377.93</v>
      </c>
      <c r="K8" s="16">
        <v>29117.81</v>
      </c>
      <c r="L8" s="16">
        <v>-2230.9899999999998</v>
      </c>
      <c r="M8" s="16">
        <v>-7096.52</v>
      </c>
      <c r="N8" s="16">
        <v>7107.94</v>
      </c>
      <c r="O8" s="16">
        <v>4476.42</v>
      </c>
      <c r="P8" s="16">
        <v>857.36</v>
      </c>
      <c r="Q8" s="16">
        <v>4882.22</v>
      </c>
      <c r="R8" s="16">
        <v>-29343.24</v>
      </c>
      <c r="S8" s="16">
        <v>-772.5</v>
      </c>
      <c r="T8" s="16">
        <v>-19194.7</v>
      </c>
      <c r="U8" s="16">
        <v>25033.75</v>
      </c>
      <c r="V8" s="16">
        <v>-9356.24</v>
      </c>
      <c r="W8" s="16">
        <v>19145.86</v>
      </c>
      <c r="X8" s="16">
        <v>10266.56</v>
      </c>
      <c r="Y8" s="16">
        <v>6477.67</v>
      </c>
      <c r="Z8" s="16">
        <v>-10785.55</v>
      </c>
      <c r="AA8" s="16">
        <v>1768.15</v>
      </c>
      <c r="AB8" s="16">
        <v>-2699.79</v>
      </c>
      <c r="AC8" s="16">
        <v>-6737.6</v>
      </c>
      <c r="AD8" s="16">
        <v>365</v>
      </c>
      <c r="AE8" s="16">
        <v>-10489.76</v>
      </c>
      <c r="AF8" s="16">
        <v>-5087.71</v>
      </c>
      <c r="AG8" s="16">
        <v>7478.28</v>
      </c>
      <c r="AH8" s="16">
        <v>-2235.77</v>
      </c>
      <c r="AI8" s="16">
        <v>8099.83</v>
      </c>
      <c r="AJ8" s="16">
        <f t="shared" si="0"/>
        <v>-14872.459999999995</v>
      </c>
      <c r="AK8" s="16">
        <f t="shared" si="1"/>
        <v>1687.6100000000006</v>
      </c>
      <c r="AL8" s="16">
        <f t="shared" si="2"/>
        <v>-9539.3700000000008</v>
      </c>
    </row>
    <row r="9" spans="1:40" x14ac:dyDescent="0.2">
      <c r="A9" t="s">
        <v>310</v>
      </c>
      <c r="B9" s="8" t="s">
        <v>309</v>
      </c>
      <c r="C9" s="16">
        <v>-111880.6</v>
      </c>
      <c r="D9" s="16">
        <v>-162397.16</v>
      </c>
      <c r="E9" s="16">
        <v>-166734.62</v>
      </c>
      <c r="F9" s="16">
        <v>99551.34</v>
      </c>
      <c r="G9" s="16">
        <v>188285.87</v>
      </c>
      <c r="H9" s="16">
        <v>73821.22</v>
      </c>
      <c r="I9" s="16">
        <v>299.18</v>
      </c>
      <c r="J9" s="16">
        <v>-15392.17</v>
      </c>
      <c r="K9" s="16">
        <v>-57489.26</v>
      </c>
      <c r="L9" s="16">
        <v>17755.349999999999</v>
      </c>
      <c r="M9" s="16">
        <v>3205.1</v>
      </c>
      <c r="N9" s="16">
        <v>-41794.03</v>
      </c>
      <c r="O9" s="16">
        <v>-32904.379999999997</v>
      </c>
      <c r="P9" s="16">
        <v>16491.27</v>
      </c>
      <c r="Q9" s="16">
        <v>6696.96</v>
      </c>
      <c r="R9" s="16">
        <v>108601.4</v>
      </c>
      <c r="S9" s="16">
        <v>77022.179999999993</v>
      </c>
      <c r="T9" s="16">
        <v>-3936.16</v>
      </c>
      <c r="U9" s="16">
        <v>-48518.74</v>
      </c>
      <c r="V9" s="16">
        <v>20361.14</v>
      </c>
      <c r="W9" s="16">
        <v>-40923.67</v>
      </c>
      <c r="X9" s="16">
        <v>-72283.740000000005</v>
      </c>
      <c r="Y9" s="16">
        <v>-2058.31</v>
      </c>
      <c r="Z9" s="16">
        <v>-33355.35</v>
      </c>
      <c r="AA9" s="16">
        <v>-5625.55</v>
      </c>
      <c r="AB9" s="16">
        <v>-83545.5</v>
      </c>
      <c r="AC9" s="16">
        <v>-148283.93</v>
      </c>
      <c r="AD9" s="16">
        <v>62805.15</v>
      </c>
      <c r="AE9" s="16">
        <v>184815.19</v>
      </c>
      <c r="AF9" s="16">
        <v>88036</v>
      </c>
      <c r="AG9" s="16">
        <v>14476.69</v>
      </c>
      <c r="AH9" s="16">
        <v>25059.040000000001</v>
      </c>
      <c r="AI9" s="16">
        <v>-65016.86</v>
      </c>
      <c r="AJ9" s="16">
        <f t="shared" si="0"/>
        <v>-172769.78000000003</v>
      </c>
      <c r="AK9" s="16">
        <f t="shared" si="1"/>
        <v>-4807.4000000000196</v>
      </c>
      <c r="AL9" s="16">
        <f t="shared" si="2"/>
        <v>72720.230000000025</v>
      </c>
    </row>
    <row r="10" spans="1:40" x14ac:dyDescent="0.2">
      <c r="A10" t="s">
        <v>312</v>
      </c>
      <c r="B10" s="8" t="s">
        <v>311</v>
      </c>
      <c r="C10" s="16">
        <v>125197.24</v>
      </c>
      <c r="D10" s="16">
        <v>13069.52</v>
      </c>
      <c r="E10" s="16">
        <v>46746.67</v>
      </c>
      <c r="F10" s="16">
        <v>-117347.9</v>
      </c>
      <c r="G10" s="16">
        <v>-11235.58</v>
      </c>
      <c r="H10" s="16">
        <v>84721.34</v>
      </c>
      <c r="I10" s="16">
        <v>44538.69</v>
      </c>
      <c r="J10" s="16">
        <v>-37896.129999999997</v>
      </c>
      <c r="K10" s="16">
        <v>400.04</v>
      </c>
      <c r="L10" s="16">
        <v>-97967.71</v>
      </c>
      <c r="M10" s="16">
        <v>-27539.03</v>
      </c>
      <c r="N10" s="16">
        <v>48175.37</v>
      </c>
      <c r="O10" s="16">
        <v>-33292.42</v>
      </c>
      <c r="P10" s="16">
        <v>-41312.620000000003</v>
      </c>
      <c r="Q10" s="16">
        <v>26612.13</v>
      </c>
      <c r="R10" s="16">
        <v>72148.710000000006</v>
      </c>
      <c r="S10" s="16">
        <v>51022.01</v>
      </c>
      <c r="T10" s="16">
        <v>57773</v>
      </c>
      <c r="U10" s="16">
        <v>22245.55</v>
      </c>
      <c r="V10" s="16">
        <v>-88896.38</v>
      </c>
      <c r="W10" s="16">
        <v>-6716.44</v>
      </c>
      <c r="X10" s="16">
        <v>-23967.49</v>
      </c>
      <c r="Y10" s="16">
        <v>-65320.55</v>
      </c>
      <c r="Z10" s="16">
        <v>6655.14</v>
      </c>
      <c r="AA10" s="16">
        <v>-23486.78</v>
      </c>
      <c r="AB10" s="16">
        <v>66879.539999999994</v>
      </c>
      <c r="AC10" s="16">
        <v>144085.47</v>
      </c>
      <c r="AD10" s="16">
        <v>-152034.17000000001</v>
      </c>
      <c r="AE10" s="16">
        <v>-4318.18</v>
      </c>
      <c r="AF10" s="16">
        <v>80177.78</v>
      </c>
      <c r="AG10" s="16">
        <v>39727.730000000003</v>
      </c>
      <c r="AH10" s="16">
        <v>-57341.8</v>
      </c>
      <c r="AI10" s="16">
        <v>-10853.93</v>
      </c>
      <c r="AJ10" s="16">
        <f t="shared" si="0"/>
        <v>70862.51999999999</v>
      </c>
      <c r="AK10" s="16">
        <f t="shared" si="1"/>
        <v>-23049.36000000003</v>
      </c>
      <c r="AL10" s="16">
        <f t="shared" si="2"/>
        <v>82835.659999999974</v>
      </c>
    </row>
    <row r="11" spans="1:40" x14ac:dyDescent="0.2">
      <c r="A11" t="s">
        <v>480</v>
      </c>
      <c r="B11" s="8" t="s">
        <v>481</v>
      </c>
      <c r="C11" s="16">
        <v>-1793.49</v>
      </c>
      <c r="D11" s="16">
        <v>376.88</v>
      </c>
      <c r="E11" s="16">
        <v>-3349.61</v>
      </c>
      <c r="F11" s="16">
        <v>-147.83000000000001</v>
      </c>
      <c r="G11" s="16">
        <v>-4292.28</v>
      </c>
      <c r="H11" s="16">
        <v>-8472.56</v>
      </c>
      <c r="I11" s="16">
        <v>3695.83</v>
      </c>
      <c r="J11" s="16">
        <v>5433.74</v>
      </c>
      <c r="K11" s="16">
        <v>6155.61</v>
      </c>
      <c r="L11" s="16">
        <v>-1785.46</v>
      </c>
      <c r="M11" s="16">
        <v>1818.49</v>
      </c>
      <c r="N11" s="16">
        <v>645.58000000000004</v>
      </c>
      <c r="O11" s="16">
        <v>-359.64</v>
      </c>
      <c r="P11" s="16">
        <v>-1187.3900000000001</v>
      </c>
      <c r="Q11" s="16">
        <v>-461.7</v>
      </c>
      <c r="R11" s="16">
        <v>-835.64</v>
      </c>
      <c r="S11" s="16">
        <v>-9103.59</v>
      </c>
      <c r="T11" s="16">
        <v>1432.72</v>
      </c>
      <c r="U11" s="16">
        <v>2017.24</v>
      </c>
      <c r="V11" s="16">
        <v>2655.61</v>
      </c>
      <c r="W11" s="16">
        <v>5274.7</v>
      </c>
      <c r="X11" s="16">
        <v>191.39</v>
      </c>
      <c r="Y11" s="16">
        <v>260.19</v>
      </c>
      <c r="Z11" s="16">
        <v>931.05</v>
      </c>
      <c r="AA11" s="16">
        <v>-766.22</v>
      </c>
      <c r="AB11" s="16">
        <v>-1799.87</v>
      </c>
      <c r="AC11" s="16">
        <v>-2657.76</v>
      </c>
      <c r="AD11" s="16">
        <v>-3501.82</v>
      </c>
      <c r="AE11" s="16">
        <v>2080.86</v>
      </c>
      <c r="AF11" s="16">
        <v>345.44</v>
      </c>
      <c r="AG11" s="16">
        <v>2355.1999999999998</v>
      </c>
      <c r="AH11" s="16">
        <v>1348.5</v>
      </c>
      <c r="AI11" s="16">
        <v>-5167.97</v>
      </c>
      <c r="AJ11" s="16">
        <f t="shared" si="0"/>
        <v>-1715.1000000000004</v>
      </c>
      <c r="AK11" s="16">
        <f t="shared" si="1"/>
        <v>814.93999999999846</v>
      </c>
      <c r="AL11" s="16">
        <f t="shared" si="2"/>
        <v>-7763.64</v>
      </c>
    </row>
    <row r="12" spans="1:40" x14ac:dyDescent="0.2">
      <c r="A12" t="s">
        <v>482</v>
      </c>
      <c r="B12" s="8" t="s">
        <v>483</v>
      </c>
      <c r="C12" s="16">
        <v>-67068.22</v>
      </c>
      <c r="D12" s="16">
        <v>-23472.98</v>
      </c>
      <c r="E12" s="16">
        <v>41305.29</v>
      </c>
      <c r="F12" s="16">
        <v>26007.63</v>
      </c>
      <c r="G12" s="16">
        <v>-22086.89</v>
      </c>
      <c r="H12" s="16">
        <v>-5404.63</v>
      </c>
      <c r="I12" s="16">
        <v>8556.3799999999992</v>
      </c>
      <c r="J12" s="16">
        <v>17866.52</v>
      </c>
      <c r="K12" s="16">
        <v>-6112.81</v>
      </c>
      <c r="L12" s="16">
        <v>-351.4</v>
      </c>
      <c r="M12" s="16">
        <v>10785.25</v>
      </c>
      <c r="N12" s="16">
        <v>12237.94</v>
      </c>
      <c r="O12" s="16">
        <v>-20988.39</v>
      </c>
      <c r="P12" s="16">
        <v>-2793.61</v>
      </c>
      <c r="Q12" s="16">
        <v>895.99</v>
      </c>
      <c r="R12" s="16">
        <v>-14064.41</v>
      </c>
      <c r="S12" s="16">
        <v>-14321.63</v>
      </c>
      <c r="T12" s="16">
        <v>-5970</v>
      </c>
      <c r="U12" s="16">
        <v>20978.58</v>
      </c>
      <c r="V12" s="16">
        <v>3297.45</v>
      </c>
      <c r="W12" s="16">
        <v>12267.19</v>
      </c>
      <c r="X12" s="16">
        <v>13048.17</v>
      </c>
      <c r="Y12" s="16">
        <v>2047.06</v>
      </c>
      <c r="Z12" s="16">
        <v>4949.6099999999997</v>
      </c>
      <c r="AA12" s="16">
        <v>-20903.88</v>
      </c>
      <c r="AB12" s="16">
        <v>-49281.68</v>
      </c>
      <c r="AC12" s="16">
        <v>15857.26</v>
      </c>
      <c r="AD12" s="16">
        <v>28877.15</v>
      </c>
      <c r="AE12" s="16">
        <v>-6530.52</v>
      </c>
      <c r="AF12" s="16">
        <v>1329.03</v>
      </c>
      <c r="AG12" s="16">
        <v>-15581.46</v>
      </c>
      <c r="AH12" s="16">
        <v>-5039.5</v>
      </c>
      <c r="AI12" s="16">
        <v>32872.65</v>
      </c>
      <c r="AJ12" s="16">
        <f t="shared" si="0"/>
        <v>-7737.92</v>
      </c>
      <c r="AK12" s="16">
        <f t="shared" si="1"/>
        <v>-653.98999999999523</v>
      </c>
      <c r="AL12" s="16">
        <f t="shared" si="2"/>
        <v>-18400.94999999999</v>
      </c>
    </row>
    <row r="13" spans="1:40" x14ac:dyDescent="0.2">
      <c r="A13" t="s">
        <v>484</v>
      </c>
      <c r="B13" s="8" t="s">
        <v>485</v>
      </c>
      <c r="C13" s="16">
        <v>15464.69</v>
      </c>
      <c r="D13" s="16">
        <v>-171.15</v>
      </c>
      <c r="E13" s="16">
        <v>3274.66</v>
      </c>
      <c r="F13" s="16">
        <v>6509.23</v>
      </c>
      <c r="G13" s="16">
        <v>1148.77</v>
      </c>
      <c r="H13" s="16">
        <v>-402.65</v>
      </c>
      <c r="I13" s="16">
        <v>-517.36</v>
      </c>
      <c r="J13" s="16">
        <v>1032.6600000000001</v>
      </c>
      <c r="K13" s="16">
        <v>-2316.17</v>
      </c>
      <c r="L13" s="16">
        <v>-3853.27</v>
      </c>
      <c r="M13" s="16">
        <v>-2285.96</v>
      </c>
      <c r="N13" s="16">
        <v>-295.45999999999998</v>
      </c>
      <c r="O13" s="16">
        <v>-247.62</v>
      </c>
      <c r="P13" s="16">
        <v>-840.4</v>
      </c>
      <c r="Q13" s="16">
        <v>4917.4399999999996</v>
      </c>
      <c r="R13" s="16">
        <v>5530.97</v>
      </c>
      <c r="S13" s="16">
        <v>1687.27</v>
      </c>
      <c r="T13" s="16">
        <v>-193.32</v>
      </c>
      <c r="U13" s="16">
        <v>-721.62</v>
      </c>
      <c r="V13" s="16">
        <v>555.20000000000005</v>
      </c>
      <c r="W13" s="16">
        <v>-753.6</v>
      </c>
      <c r="X13" s="16">
        <v>-7169.16</v>
      </c>
      <c r="Y13" s="16">
        <v>-527.22</v>
      </c>
      <c r="Z13" s="16">
        <v>372.99</v>
      </c>
      <c r="AA13" s="16">
        <v>-85.61</v>
      </c>
      <c r="AB13" s="16">
        <v>-1128.32</v>
      </c>
      <c r="AC13" s="16">
        <v>2906.62</v>
      </c>
      <c r="AD13" s="16">
        <v>7726.94</v>
      </c>
      <c r="AE13" s="16">
        <v>1683.16</v>
      </c>
      <c r="AF13" s="16">
        <v>1202.94</v>
      </c>
      <c r="AG13" s="16">
        <v>-1428.18</v>
      </c>
      <c r="AH13" s="16">
        <v>425.4</v>
      </c>
      <c r="AI13" s="16">
        <v>-1191.8499999999999</v>
      </c>
      <c r="AJ13" s="16">
        <f t="shared" si="0"/>
        <v>17587.990000000002</v>
      </c>
      <c r="AK13" s="16">
        <f t="shared" si="1"/>
        <v>2610.9299999999994</v>
      </c>
      <c r="AL13" s="16">
        <f t="shared" si="2"/>
        <v>10111.099999999999</v>
      </c>
    </row>
    <row r="14" spans="1:40" x14ac:dyDescent="0.2">
      <c r="A14" t="s">
        <v>486</v>
      </c>
      <c r="B14" s="8" t="s">
        <v>487</v>
      </c>
      <c r="C14" s="16">
        <v>-5902.66</v>
      </c>
      <c r="D14" s="16">
        <v>-7703.05</v>
      </c>
      <c r="E14" s="16">
        <v>-7366.21</v>
      </c>
      <c r="F14" s="16">
        <v>29508.58</v>
      </c>
      <c r="G14" s="16">
        <v>15112.08</v>
      </c>
      <c r="H14" s="16">
        <v>7680.65</v>
      </c>
      <c r="I14" s="16">
        <v>-25822.44</v>
      </c>
      <c r="J14" s="16">
        <v>3718.64</v>
      </c>
      <c r="K14" s="16">
        <v>29.01</v>
      </c>
      <c r="L14" s="16">
        <v>-6688.69</v>
      </c>
      <c r="M14" s="16">
        <v>1082.74</v>
      </c>
      <c r="N14" s="16">
        <v>-1424.36</v>
      </c>
      <c r="O14" s="16">
        <v>-3674.23</v>
      </c>
      <c r="P14" s="16">
        <v>1058.51</v>
      </c>
      <c r="Q14" s="16">
        <v>1341.32</v>
      </c>
      <c r="R14" s="16">
        <v>9283.24</v>
      </c>
      <c r="S14" s="16">
        <v>8655.18</v>
      </c>
      <c r="T14" s="16">
        <v>5032.71</v>
      </c>
      <c r="U14" s="16">
        <v>-21797.7</v>
      </c>
      <c r="V14" s="16">
        <v>5893.92</v>
      </c>
      <c r="W14" s="16">
        <v>1756.36</v>
      </c>
      <c r="X14" s="16">
        <v>-11864.15</v>
      </c>
      <c r="Y14" s="16">
        <v>745.72</v>
      </c>
      <c r="Z14" s="16">
        <v>-1568.38</v>
      </c>
      <c r="AA14" s="16">
        <v>3342.93</v>
      </c>
      <c r="AB14" s="16">
        <v>-4717.88</v>
      </c>
      <c r="AC14" s="16">
        <v>-5539.96</v>
      </c>
      <c r="AD14" s="16">
        <v>16826.73</v>
      </c>
      <c r="AE14" s="16">
        <v>16197.81</v>
      </c>
      <c r="AF14" s="16">
        <v>10998.04</v>
      </c>
      <c r="AG14" s="16">
        <v>-27826.880000000001</v>
      </c>
      <c r="AH14" s="16">
        <v>6419.2</v>
      </c>
      <c r="AI14" s="16">
        <v>-1049.92</v>
      </c>
      <c r="AJ14" s="16">
        <f t="shared" si="0"/>
        <v>2224.2900000000081</v>
      </c>
      <c r="AK14" s="16">
        <f t="shared" si="1"/>
        <v>-5137.5000000000009</v>
      </c>
      <c r="AL14" s="16">
        <f t="shared" si="2"/>
        <v>14650.069999999998</v>
      </c>
    </row>
    <row r="15" spans="1:40" x14ac:dyDescent="0.2">
      <c r="A15" t="s">
        <v>488</v>
      </c>
      <c r="B15" s="8" t="s">
        <v>489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108.16</v>
      </c>
      <c r="K15" s="16">
        <v>-108.16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1997.92</v>
      </c>
      <c r="AI15" s="16">
        <v>-1997.92</v>
      </c>
      <c r="AJ15" s="16">
        <f t="shared" si="0"/>
        <v>0</v>
      </c>
      <c r="AK15" s="16">
        <f t="shared" si="1"/>
        <v>0</v>
      </c>
      <c r="AL15" s="16">
        <f t="shared" si="2"/>
        <v>0</v>
      </c>
    </row>
    <row r="16" spans="1:40" x14ac:dyDescent="0.2">
      <c r="A16" s="17" t="s">
        <v>314</v>
      </c>
      <c r="B16" s="17" t="s">
        <v>313</v>
      </c>
      <c r="C16" s="18">
        <f t="shared" ref="C16:AI16" si="3">C11+C12+C13+C14+C15</f>
        <v>-59299.680000000008</v>
      </c>
      <c r="D16" s="18">
        <f t="shared" si="3"/>
        <v>-30970.3</v>
      </c>
      <c r="E16" s="18">
        <f t="shared" si="3"/>
        <v>33864.129999999997</v>
      </c>
      <c r="F16" s="18">
        <f t="shared" si="3"/>
        <v>61877.61</v>
      </c>
      <c r="G16" s="18">
        <f t="shared" si="3"/>
        <v>-10118.319999999998</v>
      </c>
      <c r="H16" s="18">
        <f t="shared" si="3"/>
        <v>-6599.1899999999987</v>
      </c>
      <c r="I16" s="18">
        <f t="shared" si="3"/>
        <v>-14087.59</v>
      </c>
      <c r="J16" s="18">
        <f t="shared" si="3"/>
        <v>28159.72</v>
      </c>
      <c r="K16" s="18">
        <f t="shared" si="3"/>
        <v>-2352.5200000000004</v>
      </c>
      <c r="L16" s="18">
        <f t="shared" si="3"/>
        <v>-12678.82</v>
      </c>
      <c r="M16" s="18">
        <f t="shared" si="3"/>
        <v>11400.519999999999</v>
      </c>
      <c r="N16" s="18">
        <f t="shared" si="3"/>
        <v>11163.7</v>
      </c>
      <c r="O16" s="18">
        <f t="shared" si="3"/>
        <v>-25269.879999999997</v>
      </c>
      <c r="P16" s="18">
        <f t="shared" si="3"/>
        <v>-3762.8899999999994</v>
      </c>
      <c r="Q16" s="18">
        <f t="shared" si="3"/>
        <v>6693.0499999999993</v>
      </c>
      <c r="R16" s="18">
        <f t="shared" si="3"/>
        <v>-85.839999999998327</v>
      </c>
      <c r="S16" s="18">
        <f t="shared" si="3"/>
        <v>-13082.77</v>
      </c>
      <c r="T16" s="18">
        <f t="shared" si="3"/>
        <v>302.11000000000058</v>
      </c>
      <c r="U16" s="18">
        <f t="shared" si="3"/>
        <v>476.50000000000364</v>
      </c>
      <c r="V16" s="18">
        <f t="shared" si="3"/>
        <v>12402.18</v>
      </c>
      <c r="W16" s="18">
        <f t="shared" si="3"/>
        <v>18544.650000000001</v>
      </c>
      <c r="X16" s="18">
        <f t="shared" si="3"/>
        <v>-5793.75</v>
      </c>
      <c r="Y16" s="18">
        <f t="shared" si="3"/>
        <v>2525.75</v>
      </c>
      <c r="Z16" s="18">
        <f t="shared" si="3"/>
        <v>4685.2699999999995</v>
      </c>
      <c r="AA16" s="18">
        <f t="shared" si="3"/>
        <v>-18412.780000000002</v>
      </c>
      <c r="AB16" s="18">
        <f t="shared" si="3"/>
        <v>-56927.75</v>
      </c>
      <c r="AC16" s="18">
        <f t="shared" si="3"/>
        <v>10566.16</v>
      </c>
      <c r="AD16" s="18">
        <f t="shared" si="3"/>
        <v>49929</v>
      </c>
      <c r="AE16" s="18">
        <f t="shared" si="3"/>
        <v>13431.31</v>
      </c>
      <c r="AF16" s="18">
        <f t="shared" si="3"/>
        <v>13875.45</v>
      </c>
      <c r="AG16" s="18">
        <f t="shared" si="3"/>
        <v>-42481.32</v>
      </c>
      <c r="AH16" s="18">
        <f t="shared" si="3"/>
        <v>5151.5200000000004</v>
      </c>
      <c r="AI16" s="18">
        <f t="shared" si="3"/>
        <v>23464.990000000005</v>
      </c>
      <c r="AJ16" s="18">
        <f t="shared" si="0"/>
        <v>10359.259999999989</v>
      </c>
      <c r="AK16" s="18">
        <f t="shared" si="1"/>
        <v>-2365.62</v>
      </c>
      <c r="AL16" s="18">
        <f t="shared" si="2"/>
        <v>-1403.4199999999873</v>
      </c>
    </row>
    <row r="17" spans="1:38" x14ac:dyDescent="0.2">
      <c r="A17" s="17" t="s">
        <v>316</v>
      </c>
      <c r="B17" s="17" t="s">
        <v>315</v>
      </c>
      <c r="C17" s="18">
        <f t="shared" ref="C17:AI17" si="4">C6+C7+C8+C9+C10+C16</f>
        <v>-96737.510000000009</v>
      </c>
      <c r="D17" s="18">
        <f t="shared" si="4"/>
        <v>-205225.02</v>
      </c>
      <c r="E17" s="18">
        <f t="shared" si="4"/>
        <v>-101944.78999999998</v>
      </c>
      <c r="F17" s="18">
        <f t="shared" si="4"/>
        <v>36521.56</v>
      </c>
      <c r="G17" s="18">
        <f t="shared" si="4"/>
        <v>209217.23</v>
      </c>
      <c r="H17" s="18">
        <f t="shared" si="4"/>
        <v>211372.13999999998</v>
      </c>
      <c r="I17" s="18">
        <f t="shared" si="4"/>
        <v>59010.950000000012</v>
      </c>
      <c r="J17" s="18">
        <f t="shared" si="4"/>
        <v>-11888.779999999999</v>
      </c>
      <c r="K17" s="18">
        <f t="shared" si="4"/>
        <v>-31781.89</v>
      </c>
      <c r="L17" s="18">
        <f t="shared" si="4"/>
        <v>-107243.1</v>
      </c>
      <c r="M17" s="18">
        <f t="shared" si="4"/>
        <v>-44035.49</v>
      </c>
      <c r="N17" s="18">
        <f t="shared" si="4"/>
        <v>-1160.0600000000013</v>
      </c>
      <c r="O17" s="18">
        <f t="shared" si="4"/>
        <v>-122503.73999999999</v>
      </c>
      <c r="P17" s="18">
        <f t="shared" si="4"/>
        <v>-58593.8</v>
      </c>
      <c r="Q17" s="18">
        <f t="shared" si="4"/>
        <v>29064.31</v>
      </c>
      <c r="R17" s="18">
        <f t="shared" si="4"/>
        <v>184284.33</v>
      </c>
      <c r="S17" s="18">
        <f t="shared" si="4"/>
        <v>159624.51</v>
      </c>
      <c r="T17" s="18">
        <f t="shared" si="4"/>
        <v>72619.62000000001</v>
      </c>
      <c r="U17" s="18">
        <f t="shared" si="4"/>
        <v>23451.160000000011</v>
      </c>
      <c r="V17" s="18">
        <f t="shared" si="4"/>
        <v>-35494.990000000005</v>
      </c>
      <c r="W17" s="18">
        <f t="shared" si="4"/>
        <v>-99.119999999995343</v>
      </c>
      <c r="X17" s="18">
        <f t="shared" si="4"/>
        <v>-108079.28000000001</v>
      </c>
      <c r="Y17" s="18">
        <f t="shared" si="4"/>
        <v>-85964.430000000008</v>
      </c>
      <c r="Z17" s="18">
        <f t="shared" si="4"/>
        <v>-74297.829999999987</v>
      </c>
      <c r="AA17" s="18">
        <f t="shared" si="4"/>
        <v>-76352.62</v>
      </c>
      <c r="AB17" s="18">
        <f t="shared" si="4"/>
        <v>-109503.85</v>
      </c>
      <c r="AC17" s="18">
        <f t="shared" si="4"/>
        <v>-9116.6299999999792</v>
      </c>
      <c r="AD17" s="18">
        <f t="shared" si="4"/>
        <v>-20574.470000000016</v>
      </c>
      <c r="AE17" s="18">
        <f t="shared" si="4"/>
        <v>246867.98</v>
      </c>
      <c r="AF17" s="18">
        <f t="shared" si="4"/>
        <v>234938.30000000002</v>
      </c>
      <c r="AG17" s="18">
        <f t="shared" si="4"/>
        <v>56844.320000000014</v>
      </c>
      <c r="AH17" s="18">
        <f t="shared" si="4"/>
        <v>-1066.5200000000004</v>
      </c>
      <c r="AI17" s="18">
        <f t="shared" si="4"/>
        <v>-58371.089999999982</v>
      </c>
      <c r="AJ17" s="18">
        <f t="shared" si="0"/>
        <v>-83894.760000000009</v>
      </c>
      <c r="AK17" s="18">
        <f t="shared" si="1"/>
        <v>-15989.259999999937</v>
      </c>
      <c r="AL17" s="18">
        <f t="shared" si="2"/>
        <v>263665.42000000004</v>
      </c>
    </row>
    <row r="18" spans="1:38" x14ac:dyDescent="0.2">
      <c r="A18" t="s">
        <v>490</v>
      </c>
      <c r="B18" s="8" t="s">
        <v>491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-6500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-18000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f t="shared" si="0"/>
        <v>0</v>
      </c>
      <c r="AK18" s="16">
        <f t="shared" si="1"/>
        <v>-6500</v>
      </c>
      <c r="AL18" s="16">
        <f t="shared" si="2"/>
        <v>-18000</v>
      </c>
    </row>
    <row r="19" spans="1:38" x14ac:dyDescent="0.2">
      <c r="A19" t="s">
        <v>492</v>
      </c>
      <c r="B19" s="8" t="s">
        <v>493</v>
      </c>
      <c r="C19" s="16">
        <v>0</v>
      </c>
      <c r="D19" s="16">
        <v>0</v>
      </c>
      <c r="E19" s="16">
        <v>0</v>
      </c>
      <c r="F19" s="16">
        <v>-14500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-9800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-7200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f t="shared" si="0"/>
        <v>-14500</v>
      </c>
      <c r="AK19" s="16">
        <f t="shared" si="1"/>
        <v>-9800</v>
      </c>
      <c r="AL19" s="16">
        <f t="shared" si="2"/>
        <v>-7200</v>
      </c>
    </row>
    <row r="20" spans="1:38" x14ac:dyDescent="0.2">
      <c r="A20" s="17" t="s">
        <v>494</v>
      </c>
      <c r="B20" s="17" t="s">
        <v>317</v>
      </c>
      <c r="C20" s="18">
        <f t="shared" ref="C20:AI20" si="5">C18+C19</f>
        <v>0</v>
      </c>
      <c r="D20" s="18">
        <f t="shared" si="5"/>
        <v>0</v>
      </c>
      <c r="E20" s="18">
        <f t="shared" si="5"/>
        <v>0</v>
      </c>
      <c r="F20" s="18">
        <f t="shared" si="5"/>
        <v>-14500</v>
      </c>
      <c r="G20" s="18">
        <f t="shared" si="5"/>
        <v>0</v>
      </c>
      <c r="H20" s="18">
        <f t="shared" si="5"/>
        <v>0</v>
      </c>
      <c r="I20" s="18">
        <f t="shared" si="5"/>
        <v>0</v>
      </c>
      <c r="J20" s="18">
        <f t="shared" si="5"/>
        <v>0</v>
      </c>
      <c r="K20" s="18">
        <f t="shared" si="5"/>
        <v>0</v>
      </c>
      <c r="L20" s="18">
        <f t="shared" si="5"/>
        <v>0</v>
      </c>
      <c r="M20" s="18">
        <f t="shared" si="5"/>
        <v>0</v>
      </c>
      <c r="N20" s="18">
        <f t="shared" si="5"/>
        <v>0</v>
      </c>
      <c r="O20" s="18">
        <f t="shared" si="5"/>
        <v>0</v>
      </c>
      <c r="P20" s="18">
        <f t="shared" si="5"/>
        <v>0</v>
      </c>
      <c r="Q20" s="18">
        <f t="shared" si="5"/>
        <v>-9800</v>
      </c>
      <c r="R20" s="18">
        <f t="shared" si="5"/>
        <v>0</v>
      </c>
      <c r="S20" s="18">
        <f t="shared" si="5"/>
        <v>-6500</v>
      </c>
      <c r="T20" s="18">
        <f t="shared" si="5"/>
        <v>0</v>
      </c>
      <c r="U20" s="18">
        <f t="shared" si="5"/>
        <v>0</v>
      </c>
      <c r="V20" s="18">
        <f t="shared" si="5"/>
        <v>0</v>
      </c>
      <c r="W20" s="18">
        <f t="shared" si="5"/>
        <v>0</v>
      </c>
      <c r="X20" s="18">
        <f t="shared" si="5"/>
        <v>0</v>
      </c>
      <c r="Y20" s="18">
        <f t="shared" si="5"/>
        <v>0</v>
      </c>
      <c r="Z20" s="18">
        <f t="shared" si="5"/>
        <v>0</v>
      </c>
      <c r="AA20" s="18">
        <f t="shared" si="5"/>
        <v>0</v>
      </c>
      <c r="AB20" s="18">
        <f t="shared" si="5"/>
        <v>-18000</v>
      </c>
      <c r="AC20" s="18">
        <f t="shared" si="5"/>
        <v>0</v>
      </c>
      <c r="AD20" s="18">
        <f t="shared" si="5"/>
        <v>-7200</v>
      </c>
      <c r="AE20" s="18">
        <f t="shared" si="5"/>
        <v>0</v>
      </c>
      <c r="AF20" s="18">
        <f t="shared" si="5"/>
        <v>0</v>
      </c>
      <c r="AG20" s="18">
        <f t="shared" si="5"/>
        <v>0</v>
      </c>
      <c r="AH20" s="18">
        <f t="shared" si="5"/>
        <v>0</v>
      </c>
      <c r="AI20" s="18">
        <f t="shared" si="5"/>
        <v>0</v>
      </c>
      <c r="AJ20" s="18">
        <f t="shared" si="0"/>
        <v>-14500</v>
      </c>
      <c r="AK20" s="18">
        <f t="shared" si="1"/>
        <v>-16300</v>
      </c>
      <c r="AL20" s="18">
        <f t="shared" si="2"/>
        <v>-25200</v>
      </c>
    </row>
    <row r="21" spans="1:38" x14ac:dyDescent="0.2">
      <c r="A21" t="s">
        <v>322</v>
      </c>
      <c r="B21" s="8" t="s">
        <v>321</v>
      </c>
      <c r="C21" s="16">
        <v>0</v>
      </c>
      <c r="D21" s="16">
        <v>0</v>
      </c>
      <c r="E21" s="16">
        <v>133000</v>
      </c>
      <c r="F21" s="16">
        <v>90000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54000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159000</v>
      </c>
      <c r="AC21" s="16">
        <v>0</v>
      </c>
      <c r="AD21" s="16">
        <v>128000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f t="shared" si="0"/>
        <v>223000</v>
      </c>
      <c r="AK21" s="16">
        <f t="shared" si="1"/>
        <v>54000</v>
      </c>
      <c r="AL21" s="16">
        <f t="shared" si="2"/>
        <v>287000</v>
      </c>
    </row>
    <row r="22" spans="1:38" x14ac:dyDescent="0.2">
      <c r="A22" t="s">
        <v>324</v>
      </c>
      <c r="B22" s="8" t="s">
        <v>323</v>
      </c>
      <c r="C22" s="16">
        <v>0</v>
      </c>
      <c r="D22" s="16">
        <v>0</v>
      </c>
      <c r="E22" s="16">
        <v>0</v>
      </c>
      <c r="F22" s="16">
        <v>-108000</v>
      </c>
      <c r="G22" s="16">
        <v>-115000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-54000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-83000</v>
      </c>
      <c r="AE22" s="16">
        <v>-204000</v>
      </c>
      <c r="AF22" s="16">
        <v>0</v>
      </c>
      <c r="AG22" s="16">
        <v>0</v>
      </c>
      <c r="AH22" s="16">
        <v>0</v>
      </c>
      <c r="AI22" s="16">
        <v>0</v>
      </c>
      <c r="AJ22" s="16">
        <f t="shared" si="0"/>
        <v>-223000</v>
      </c>
      <c r="AK22" s="16">
        <f t="shared" si="1"/>
        <v>-54000</v>
      </c>
      <c r="AL22" s="16">
        <f t="shared" si="2"/>
        <v>-287000</v>
      </c>
    </row>
    <row r="23" spans="1:38" x14ac:dyDescent="0.2">
      <c r="A23" t="s">
        <v>320</v>
      </c>
      <c r="B23" s="8" t="s">
        <v>319</v>
      </c>
      <c r="C23" s="16">
        <v>-4166.67</v>
      </c>
      <c r="D23" s="16">
        <v>-4166.67</v>
      </c>
      <c r="E23" s="16">
        <v>-4166.67</v>
      </c>
      <c r="F23" s="16">
        <v>-4166.67</v>
      </c>
      <c r="G23" s="16">
        <v>-4166.67</v>
      </c>
      <c r="H23" s="16">
        <v>-4166.67</v>
      </c>
      <c r="I23" s="16">
        <v>-4166.67</v>
      </c>
      <c r="J23" s="16">
        <v>-4166.67</v>
      </c>
      <c r="K23" s="16">
        <v>-4166.67</v>
      </c>
      <c r="L23" s="16">
        <v>-4166.67</v>
      </c>
      <c r="M23" s="16">
        <v>-4166.67</v>
      </c>
      <c r="N23" s="16">
        <v>-4166.67</v>
      </c>
      <c r="O23" s="16">
        <v>-4166.67</v>
      </c>
      <c r="P23" s="16">
        <v>-4166.67</v>
      </c>
      <c r="Q23" s="16">
        <v>-4166.67</v>
      </c>
      <c r="R23" s="16">
        <v>-4166.67</v>
      </c>
      <c r="S23" s="16">
        <v>-4166.67</v>
      </c>
      <c r="T23" s="16">
        <v>-4166.67</v>
      </c>
      <c r="U23" s="16">
        <v>-4166.67</v>
      </c>
      <c r="V23" s="16">
        <v>-4166.67</v>
      </c>
      <c r="W23" s="16">
        <v>-4166.67</v>
      </c>
      <c r="X23" s="16">
        <v>-4166.67</v>
      </c>
      <c r="Y23" s="16">
        <v>-4166.67</v>
      </c>
      <c r="Z23" s="16">
        <v>-4166.67</v>
      </c>
      <c r="AA23" s="16">
        <v>-4166.67</v>
      </c>
      <c r="AB23" s="16">
        <v>-4166.67</v>
      </c>
      <c r="AC23" s="16">
        <v>-4166.67</v>
      </c>
      <c r="AD23" s="16">
        <v>-4166.67</v>
      </c>
      <c r="AE23" s="16">
        <v>-4166.67</v>
      </c>
      <c r="AF23" s="16">
        <v>-4166.67</v>
      </c>
      <c r="AG23" s="16">
        <v>-4166.67</v>
      </c>
      <c r="AH23" s="16">
        <v>-4166.67</v>
      </c>
      <c r="AI23" s="16">
        <v>-4166.67</v>
      </c>
      <c r="AJ23" s="16">
        <f t="shared" si="0"/>
        <v>-50000.039999999986</v>
      </c>
      <c r="AK23" s="16">
        <f t="shared" si="1"/>
        <v>-50000.039999999986</v>
      </c>
      <c r="AL23" s="16">
        <f t="shared" si="2"/>
        <v>-37500.029999999992</v>
      </c>
    </row>
    <row r="24" spans="1:38" x14ac:dyDescent="0.2">
      <c r="A24" t="s">
        <v>495</v>
      </c>
      <c r="B24" s="8" t="s">
        <v>325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f t="shared" si="0"/>
        <v>0</v>
      </c>
      <c r="AK24" s="16">
        <f t="shared" si="1"/>
        <v>0</v>
      </c>
      <c r="AL24" s="16">
        <f t="shared" si="2"/>
        <v>0</v>
      </c>
    </row>
    <row r="25" spans="1:38" x14ac:dyDescent="0.2">
      <c r="A25" t="s">
        <v>328</v>
      </c>
      <c r="B25" s="8" t="s">
        <v>327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f t="shared" si="0"/>
        <v>0</v>
      </c>
      <c r="AK25" s="16">
        <f t="shared" si="1"/>
        <v>0</v>
      </c>
      <c r="AL25" s="16">
        <f t="shared" si="2"/>
        <v>0</v>
      </c>
    </row>
    <row r="26" spans="1:38" x14ac:dyDescent="0.2">
      <c r="A26" s="17" t="s">
        <v>330</v>
      </c>
      <c r="B26" s="17" t="s">
        <v>329</v>
      </c>
      <c r="C26" s="18">
        <f t="shared" ref="C26:AI26" si="6">C21+C22+C23+C24+C25</f>
        <v>-4166.67</v>
      </c>
      <c r="D26" s="18">
        <f t="shared" si="6"/>
        <v>-4166.67</v>
      </c>
      <c r="E26" s="18">
        <f t="shared" si="6"/>
        <v>128833.33</v>
      </c>
      <c r="F26" s="18">
        <f t="shared" si="6"/>
        <v>-22166.67</v>
      </c>
      <c r="G26" s="18">
        <f t="shared" si="6"/>
        <v>-119166.67</v>
      </c>
      <c r="H26" s="18">
        <f t="shared" si="6"/>
        <v>-4166.67</v>
      </c>
      <c r="I26" s="18">
        <f t="shared" si="6"/>
        <v>-4166.67</v>
      </c>
      <c r="J26" s="18">
        <f t="shared" si="6"/>
        <v>-4166.67</v>
      </c>
      <c r="K26" s="18">
        <f t="shared" si="6"/>
        <v>-4166.67</v>
      </c>
      <c r="L26" s="18">
        <f t="shared" si="6"/>
        <v>-4166.67</v>
      </c>
      <c r="M26" s="18">
        <f t="shared" si="6"/>
        <v>-4166.67</v>
      </c>
      <c r="N26" s="18">
        <f t="shared" si="6"/>
        <v>-4166.67</v>
      </c>
      <c r="O26" s="18">
        <f t="shared" si="6"/>
        <v>-4166.67</v>
      </c>
      <c r="P26" s="18">
        <f t="shared" si="6"/>
        <v>49833.33</v>
      </c>
      <c r="Q26" s="18">
        <f t="shared" si="6"/>
        <v>-4166.67</v>
      </c>
      <c r="R26" s="18">
        <f t="shared" si="6"/>
        <v>-58166.67</v>
      </c>
      <c r="S26" s="18">
        <f t="shared" si="6"/>
        <v>-4166.67</v>
      </c>
      <c r="T26" s="18">
        <f t="shared" si="6"/>
        <v>-4166.67</v>
      </c>
      <c r="U26" s="18">
        <f t="shared" si="6"/>
        <v>-4166.67</v>
      </c>
      <c r="V26" s="18">
        <f t="shared" si="6"/>
        <v>-4166.67</v>
      </c>
      <c r="W26" s="18">
        <f t="shared" si="6"/>
        <v>-4166.67</v>
      </c>
      <c r="X26" s="18">
        <f t="shared" si="6"/>
        <v>-4166.67</v>
      </c>
      <c r="Y26" s="18">
        <f t="shared" si="6"/>
        <v>-4166.67</v>
      </c>
      <c r="Z26" s="18">
        <f t="shared" si="6"/>
        <v>-4166.67</v>
      </c>
      <c r="AA26" s="18">
        <f t="shared" si="6"/>
        <v>-4166.67</v>
      </c>
      <c r="AB26" s="18">
        <f t="shared" si="6"/>
        <v>154833.32999999999</v>
      </c>
      <c r="AC26" s="18">
        <f t="shared" si="6"/>
        <v>-4166.67</v>
      </c>
      <c r="AD26" s="18">
        <f t="shared" si="6"/>
        <v>40833.33</v>
      </c>
      <c r="AE26" s="18">
        <f t="shared" si="6"/>
        <v>-208166.67</v>
      </c>
      <c r="AF26" s="18">
        <f t="shared" si="6"/>
        <v>-4166.67</v>
      </c>
      <c r="AG26" s="18">
        <f t="shared" si="6"/>
        <v>-4166.67</v>
      </c>
      <c r="AH26" s="18">
        <f t="shared" si="6"/>
        <v>-4166.67</v>
      </c>
      <c r="AI26" s="18">
        <f t="shared" si="6"/>
        <v>-4166.67</v>
      </c>
      <c r="AJ26" s="18">
        <f t="shared" si="0"/>
        <v>-50000.039999999979</v>
      </c>
      <c r="AK26" s="18">
        <f t="shared" si="1"/>
        <v>-50000.039999999979</v>
      </c>
      <c r="AL26" s="18">
        <f t="shared" si="2"/>
        <v>-37500.030000000057</v>
      </c>
    </row>
    <row r="27" spans="1:38" x14ac:dyDescent="0.2">
      <c r="A27" s="17" t="s">
        <v>332</v>
      </c>
      <c r="B27" s="17" t="s">
        <v>331</v>
      </c>
      <c r="C27" s="18">
        <f t="shared" ref="C27:AI27" si="7">C17+C20+C26</f>
        <v>-100904.18000000001</v>
      </c>
      <c r="D27" s="18">
        <f t="shared" si="7"/>
        <v>-209391.69</v>
      </c>
      <c r="E27" s="18">
        <f t="shared" si="7"/>
        <v>26888.540000000023</v>
      </c>
      <c r="F27" s="18">
        <f t="shared" si="7"/>
        <v>-145.11000000000058</v>
      </c>
      <c r="G27" s="18">
        <f t="shared" si="7"/>
        <v>90050.560000000012</v>
      </c>
      <c r="H27" s="18">
        <f t="shared" si="7"/>
        <v>207205.46999999997</v>
      </c>
      <c r="I27" s="18">
        <f t="shared" si="7"/>
        <v>54844.280000000013</v>
      </c>
      <c r="J27" s="18">
        <f t="shared" si="7"/>
        <v>-16055.449999999999</v>
      </c>
      <c r="K27" s="18">
        <f t="shared" si="7"/>
        <v>-35948.559999999998</v>
      </c>
      <c r="L27" s="18">
        <f t="shared" si="7"/>
        <v>-111409.77</v>
      </c>
      <c r="M27" s="18">
        <f t="shared" si="7"/>
        <v>-48202.159999999996</v>
      </c>
      <c r="N27" s="18">
        <f t="shared" si="7"/>
        <v>-5326.7300000000014</v>
      </c>
      <c r="O27" s="18">
        <f t="shared" si="7"/>
        <v>-126670.40999999999</v>
      </c>
      <c r="P27" s="18">
        <f t="shared" si="7"/>
        <v>-8760.4700000000012</v>
      </c>
      <c r="Q27" s="18">
        <f t="shared" si="7"/>
        <v>15097.640000000001</v>
      </c>
      <c r="R27" s="18">
        <f t="shared" si="7"/>
        <v>126117.65999999999</v>
      </c>
      <c r="S27" s="18">
        <f t="shared" si="7"/>
        <v>148957.84</v>
      </c>
      <c r="T27" s="18">
        <f t="shared" si="7"/>
        <v>68452.950000000012</v>
      </c>
      <c r="U27" s="18">
        <f t="shared" si="7"/>
        <v>19284.490000000013</v>
      </c>
      <c r="V27" s="18">
        <f t="shared" si="7"/>
        <v>-39661.660000000003</v>
      </c>
      <c r="W27" s="18">
        <f t="shared" si="7"/>
        <v>-4265.7899999999954</v>
      </c>
      <c r="X27" s="18">
        <f t="shared" si="7"/>
        <v>-112245.95000000001</v>
      </c>
      <c r="Y27" s="18">
        <f t="shared" si="7"/>
        <v>-90131.1</v>
      </c>
      <c r="Z27" s="18">
        <f t="shared" si="7"/>
        <v>-78464.499999999985</v>
      </c>
      <c r="AA27" s="18">
        <f t="shared" si="7"/>
        <v>-80519.289999999994</v>
      </c>
      <c r="AB27" s="18">
        <f t="shared" si="7"/>
        <v>27329.479999999981</v>
      </c>
      <c r="AC27" s="18">
        <f t="shared" si="7"/>
        <v>-13283.299999999979</v>
      </c>
      <c r="AD27" s="18">
        <f t="shared" si="7"/>
        <v>13058.859999999986</v>
      </c>
      <c r="AE27" s="18">
        <f t="shared" si="7"/>
        <v>38701.31</v>
      </c>
      <c r="AF27" s="18">
        <f t="shared" si="7"/>
        <v>230771.63</v>
      </c>
      <c r="AG27" s="18">
        <f t="shared" si="7"/>
        <v>52677.650000000016</v>
      </c>
      <c r="AH27" s="18">
        <f t="shared" si="7"/>
        <v>-5233.1900000000005</v>
      </c>
      <c r="AI27" s="18">
        <f t="shared" si="7"/>
        <v>-62537.75999999998</v>
      </c>
      <c r="AJ27" s="18">
        <f t="shared" si="0"/>
        <v>-148394.79999999996</v>
      </c>
      <c r="AK27" s="18">
        <f t="shared" si="1"/>
        <v>-82289.3</v>
      </c>
      <c r="AL27" s="18">
        <f t="shared" si="2"/>
        <v>200965.39000000004</v>
      </c>
    </row>
    <row r="28" spans="1:38" x14ac:dyDescent="0.2">
      <c r="A28" t="s">
        <v>496</v>
      </c>
      <c r="B28" s="8" t="s">
        <v>497</v>
      </c>
      <c r="C28" s="16">
        <v>384178.15</v>
      </c>
      <c r="D28" s="16">
        <f t="shared" ref="D28:AI28" si="8">C29</f>
        <v>283273.97000000003</v>
      </c>
      <c r="E28" s="16">
        <f t="shared" si="8"/>
        <v>73882.280000000028</v>
      </c>
      <c r="F28" s="16">
        <f t="shared" si="8"/>
        <v>100770.82000000005</v>
      </c>
      <c r="G28" s="16">
        <f t="shared" si="8"/>
        <v>100625.71000000005</v>
      </c>
      <c r="H28" s="16">
        <f t="shared" si="8"/>
        <v>190676.27000000008</v>
      </c>
      <c r="I28" s="16">
        <f t="shared" si="8"/>
        <v>397881.74000000005</v>
      </c>
      <c r="J28" s="16">
        <f t="shared" si="8"/>
        <v>452726.02000000008</v>
      </c>
      <c r="K28" s="16">
        <f t="shared" si="8"/>
        <v>436670.57000000007</v>
      </c>
      <c r="L28" s="16">
        <f t="shared" si="8"/>
        <v>400722.01000000007</v>
      </c>
      <c r="M28" s="16">
        <f t="shared" si="8"/>
        <v>289312.24000000005</v>
      </c>
      <c r="N28" s="16">
        <f t="shared" si="8"/>
        <v>241110.08000000005</v>
      </c>
      <c r="O28" s="16">
        <f t="shared" si="8"/>
        <v>235783.35000000003</v>
      </c>
      <c r="P28" s="16">
        <f t="shared" si="8"/>
        <v>109112.94000000005</v>
      </c>
      <c r="Q28" s="16">
        <f t="shared" si="8"/>
        <v>100352.47000000004</v>
      </c>
      <c r="R28" s="16">
        <f t="shared" si="8"/>
        <v>115450.11000000004</v>
      </c>
      <c r="S28" s="16">
        <f t="shared" si="8"/>
        <v>241567.77000000002</v>
      </c>
      <c r="T28" s="16">
        <f t="shared" si="8"/>
        <v>390525.61</v>
      </c>
      <c r="U28" s="16">
        <f t="shared" si="8"/>
        <v>458978.56</v>
      </c>
      <c r="V28" s="16">
        <f t="shared" si="8"/>
        <v>478263.05</v>
      </c>
      <c r="W28" s="16">
        <f t="shared" si="8"/>
        <v>438601.39</v>
      </c>
      <c r="X28" s="16">
        <f t="shared" si="8"/>
        <v>434335.60000000003</v>
      </c>
      <c r="Y28" s="16">
        <f t="shared" si="8"/>
        <v>322089.65000000002</v>
      </c>
      <c r="Z28" s="16">
        <f t="shared" si="8"/>
        <v>231958.55000000002</v>
      </c>
      <c r="AA28" s="16">
        <f t="shared" si="8"/>
        <v>153494.05000000005</v>
      </c>
      <c r="AB28" s="16">
        <f t="shared" si="8"/>
        <v>72974.760000000053</v>
      </c>
      <c r="AC28" s="16">
        <f t="shared" si="8"/>
        <v>100304.24000000003</v>
      </c>
      <c r="AD28" s="16">
        <f t="shared" si="8"/>
        <v>87020.940000000061</v>
      </c>
      <c r="AE28" s="16">
        <f t="shared" si="8"/>
        <v>100079.80000000005</v>
      </c>
      <c r="AF28" s="16">
        <f t="shared" si="8"/>
        <v>138781.11000000004</v>
      </c>
      <c r="AG28" s="16">
        <f t="shared" si="8"/>
        <v>369552.74000000005</v>
      </c>
      <c r="AH28" s="16">
        <f t="shared" si="8"/>
        <v>422230.39000000007</v>
      </c>
      <c r="AI28" s="16">
        <f t="shared" si="8"/>
        <v>416997.20000000007</v>
      </c>
      <c r="AJ28" s="16">
        <f>C28</f>
        <v>384178.15</v>
      </c>
      <c r="AK28" s="16">
        <f>O28</f>
        <v>235783.35000000003</v>
      </c>
      <c r="AL28" s="16">
        <f>AA28</f>
        <v>153494.05000000005</v>
      </c>
    </row>
    <row r="29" spans="1:38" x14ac:dyDescent="0.2">
      <c r="A29" s="17" t="s">
        <v>498</v>
      </c>
      <c r="B29" s="17" t="s">
        <v>499</v>
      </c>
      <c r="C29" s="18">
        <f t="shared" ref="C29:AI29" si="9">C28+C27</f>
        <v>283273.97000000003</v>
      </c>
      <c r="D29" s="18">
        <f t="shared" si="9"/>
        <v>73882.280000000028</v>
      </c>
      <c r="E29" s="18">
        <f t="shared" si="9"/>
        <v>100770.82000000005</v>
      </c>
      <c r="F29" s="18">
        <f t="shared" si="9"/>
        <v>100625.71000000005</v>
      </c>
      <c r="G29" s="18">
        <f t="shared" si="9"/>
        <v>190676.27000000008</v>
      </c>
      <c r="H29" s="18">
        <f t="shared" si="9"/>
        <v>397881.74000000005</v>
      </c>
      <c r="I29" s="18">
        <f t="shared" si="9"/>
        <v>452726.02000000008</v>
      </c>
      <c r="J29" s="18">
        <f t="shared" si="9"/>
        <v>436670.57000000007</v>
      </c>
      <c r="K29" s="18">
        <f t="shared" si="9"/>
        <v>400722.01000000007</v>
      </c>
      <c r="L29" s="18">
        <f t="shared" si="9"/>
        <v>289312.24000000005</v>
      </c>
      <c r="M29" s="18">
        <f t="shared" si="9"/>
        <v>241110.08000000005</v>
      </c>
      <c r="N29" s="18">
        <f t="shared" si="9"/>
        <v>235783.35000000003</v>
      </c>
      <c r="O29" s="18">
        <f t="shared" si="9"/>
        <v>109112.94000000005</v>
      </c>
      <c r="P29" s="18">
        <f t="shared" si="9"/>
        <v>100352.47000000004</v>
      </c>
      <c r="Q29" s="18">
        <f t="shared" si="9"/>
        <v>115450.11000000004</v>
      </c>
      <c r="R29" s="18">
        <f t="shared" si="9"/>
        <v>241567.77000000002</v>
      </c>
      <c r="S29" s="18">
        <f t="shared" si="9"/>
        <v>390525.61</v>
      </c>
      <c r="T29" s="18">
        <f t="shared" si="9"/>
        <v>458978.56</v>
      </c>
      <c r="U29" s="18">
        <f t="shared" si="9"/>
        <v>478263.05</v>
      </c>
      <c r="V29" s="18">
        <f t="shared" si="9"/>
        <v>438601.39</v>
      </c>
      <c r="W29" s="18">
        <f t="shared" si="9"/>
        <v>434335.60000000003</v>
      </c>
      <c r="X29" s="18">
        <f t="shared" si="9"/>
        <v>322089.65000000002</v>
      </c>
      <c r="Y29" s="18">
        <f t="shared" si="9"/>
        <v>231958.55000000002</v>
      </c>
      <c r="Z29" s="18">
        <f t="shared" si="9"/>
        <v>153494.05000000005</v>
      </c>
      <c r="AA29" s="18">
        <f t="shared" si="9"/>
        <v>72974.760000000053</v>
      </c>
      <c r="AB29" s="18">
        <f t="shared" si="9"/>
        <v>100304.24000000003</v>
      </c>
      <c r="AC29" s="18">
        <f t="shared" si="9"/>
        <v>87020.940000000061</v>
      </c>
      <c r="AD29" s="18">
        <f t="shared" si="9"/>
        <v>100079.80000000005</v>
      </c>
      <c r="AE29" s="18">
        <f t="shared" si="9"/>
        <v>138781.11000000004</v>
      </c>
      <c r="AF29" s="18">
        <f t="shared" si="9"/>
        <v>369552.74000000005</v>
      </c>
      <c r="AG29" s="18">
        <f t="shared" si="9"/>
        <v>422230.39000000007</v>
      </c>
      <c r="AH29" s="18">
        <f t="shared" si="9"/>
        <v>416997.20000000007</v>
      </c>
      <c r="AI29" s="18">
        <f t="shared" si="9"/>
        <v>354459.44000000006</v>
      </c>
      <c r="AJ29" s="18">
        <f>N29</f>
        <v>235783.35000000003</v>
      </c>
      <c r="AK29" s="18">
        <f>Z29</f>
        <v>153494.05000000005</v>
      </c>
      <c r="AL29" s="18">
        <f>AI29</f>
        <v>354459.44000000006</v>
      </c>
    </row>
    <row r="30" spans="1:38" x14ac:dyDescent="0.2">
      <c r="A30" t="s">
        <v>500</v>
      </c>
      <c r="B30" s="8" t="s">
        <v>501</v>
      </c>
      <c r="C30" s="16">
        <f>Hist_BS!C6</f>
        <v>283273.96999999997</v>
      </c>
      <c r="D30" s="16">
        <f>Hist_BS!D6</f>
        <v>73882.28</v>
      </c>
      <c r="E30" s="16">
        <f>Hist_BS!E6</f>
        <v>100770.82</v>
      </c>
      <c r="F30" s="16">
        <f>Hist_BS!F6</f>
        <v>100625.71</v>
      </c>
      <c r="G30" s="16">
        <f>Hist_BS!G6</f>
        <v>190676.27</v>
      </c>
      <c r="H30" s="16">
        <f>Hist_BS!H6</f>
        <v>397881.74</v>
      </c>
      <c r="I30" s="16">
        <f>Hist_BS!I6</f>
        <v>452726.02</v>
      </c>
      <c r="J30" s="16">
        <f>Hist_BS!J6</f>
        <v>436670.57</v>
      </c>
      <c r="K30" s="16">
        <f>Hist_BS!K6</f>
        <v>400722.01</v>
      </c>
      <c r="L30" s="16">
        <f>Hist_BS!L6</f>
        <v>289312.24</v>
      </c>
      <c r="M30" s="16">
        <f>Hist_BS!M6</f>
        <v>241110.08</v>
      </c>
      <c r="N30" s="16">
        <f>Hist_BS!N6</f>
        <v>235783.35</v>
      </c>
      <c r="O30" s="16">
        <f>Hist_BS!O6</f>
        <v>109112.94</v>
      </c>
      <c r="P30" s="16">
        <f>Hist_BS!P6</f>
        <v>100352.47</v>
      </c>
      <c r="Q30" s="16">
        <f>Hist_BS!Q6</f>
        <v>115450.11</v>
      </c>
      <c r="R30" s="16">
        <f>Hist_BS!R6</f>
        <v>241567.77</v>
      </c>
      <c r="S30" s="16">
        <f>Hist_BS!S6</f>
        <v>390525.61</v>
      </c>
      <c r="T30" s="16">
        <f>Hist_BS!T6</f>
        <v>458978.56</v>
      </c>
      <c r="U30" s="16">
        <f>Hist_BS!U6</f>
        <v>478263.05</v>
      </c>
      <c r="V30" s="16">
        <f>Hist_BS!V6</f>
        <v>438601.39</v>
      </c>
      <c r="W30" s="16">
        <f>Hist_BS!W6</f>
        <v>434335.6</v>
      </c>
      <c r="X30" s="16">
        <f>Hist_BS!X6</f>
        <v>322089.65000000002</v>
      </c>
      <c r="Y30" s="16">
        <f>Hist_BS!Y6</f>
        <v>231958.55</v>
      </c>
      <c r="Z30" s="16">
        <f>Hist_BS!Z6</f>
        <v>153494.04999999999</v>
      </c>
      <c r="AA30" s="16">
        <f>Hist_BS!AA6</f>
        <v>72974.759999999995</v>
      </c>
      <c r="AB30" s="16">
        <f>Hist_BS!AB6</f>
        <v>100304.24</v>
      </c>
      <c r="AC30" s="16">
        <f>Hist_BS!AC6</f>
        <v>87020.94</v>
      </c>
      <c r="AD30" s="16">
        <f>Hist_BS!AD6</f>
        <v>100079.8</v>
      </c>
      <c r="AE30" s="16">
        <f>Hist_BS!AE6</f>
        <v>138781.10999999999</v>
      </c>
      <c r="AF30" s="16">
        <f>Hist_BS!AF6</f>
        <v>369552.74</v>
      </c>
      <c r="AG30" s="16">
        <f>Hist_BS!AG6</f>
        <v>422230.39</v>
      </c>
      <c r="AH30" s="16">
        <f>Hist_BS!AH6</f>
        <v>416997.2</v>
      </c>
      <c r="AI30" s="16">
        <f>Hist_BS!AI6</f>
        <v>354459.44</v>
      </c>
      <c r="AJ30" s="16">
        <f>N30</f>
        <v>235783.35</v>
      </c>
      <c r="AK30" s="16">
        <f>Z30</f>
        <v>153494.04999999999</v>
      </c>
      <c r="AL30" s="16">
        <f>AI30</f>
        <v>354459.44</v>
      </c>
    </row>
    <row r="31" spans="1:38" x14ac:dyDescent="0.2">
      <c r="A31" s="17" t="s">
        <v>502</v>
      </c>
      <c r="B31" s="17" t="s">
        <v>478</v>
      </c>
      <c r="C31" s="18">
        <f t="shared" ref="C31:AI31" si="10">ROUND(C29-C30,2)</f>
        <v>0</v>
      </c>
      <c r="D31" s="18">
        <f t="shared" si="10"/>
        <v>0</v>
      </c>
      <c r="E31" s="18">
        <f t="shared" si="10"/>
        <v>0</v>
      </c>
      <c r="F31" s="18">
        <f t="shared" si="10"/>
        <v>0</v>
      </c>
      <c r="G31" s="18">
        <f t="shared" si="10"/>
        <v>0</v>
      </c>
      <c r="H31" s="18">
        <f t="shared" si="10"/>
        <v>0</v>
      </c>
      <c r="I31" s="18">
        <f t="shared" si="10"/>
        <v>0</v>
      </c>
      <c r="J31" s="18">
        <f t="shared" si="10"/>
        <v>0</v>
      </c>
      <c r="K31" s="18">
        <f t="shared" si="10"/>
        <v>0</v>
      </c>
      <c r="L31" s="18">
        <f t="shared" si="10"/>
        <v>0</v>
      </c>
      <c r="M31" s="18">
        <f t="shared" si="10"/>
        <v>0</v>
      </c>
      <c r="N31" s="18">
        <f t="shared" si="10"/>
        <v>0</v>
      </c>
      <c r="O31" s="18">
        <f t="shared" si="10"/>
        <v>0</v>
      </c>
      <c r="P31" s="18">
        <f t="shared" si="10"/>
        <v>0</v>
      </c>
      <c r="Q31" s="18">
        <f t="shared" si="10"/>
        <v>0</v>
      </c>
      <c r="R31" s="18">
        <f t="shared" si="10"/>
        <v>0</v>
      </c>
      <c r="S31" s="18">
        <f t="shared" si="10"/>
        <v>0</v>
      </c>
      <c r="T31" s="18">
        <f t="shared" si="10"/>
        <v>0</v>
      </c>
      <c r="U31" s="18">
        <f t="shared" si="10"/>
        <v>0</v>
      </c>
      <c r="V31" s="18">
        <f t="shared" si="10"/>
        <v>0</v>
      </c>
      <c r="W31" s="18">
        <f t="shared" si="10"/>
        <v>0</v>
      </c>
      <c r="X31" s="18">
        <f t="shared" si="10"/>
        <v>0</v>
      </c>
      <c r="Y31" s="18">
        <f t="shared" si="10"/>
        <v>0</v>
      </c>
      <c r="Z31" s="18">
        <f t="shared" si="10"/>
        <v>0</v>
      </c>
      <c r="AA31" s="18">
        <f t="shared" si="10"/>
        <v>0</v>
      </c>
      <c r="AB31" s="18">
        <f t="shared" si="10"/>
        <v>0</v>
      </c>
      <c r="AC31" s="18">
        <f t="shared" si="10"/>
        <v>0</v>
      </c>
      <c r="AD31" s="18">
        <f t="shared" si="10"/>
        <v>0</v>
      </c>
      <c r="AE31" s="18">
        <f t="shared" si="10"/>
        <v>0</v>
      </c>
      <c r="AF31" s="18">
        <f t="shared" si="10"/>
        <v>0</v>
      </c>
      <c r="AG31" s="18">
        <f t="shared" si="10"/>
        <v>0</v>
      </c>
      <c r="AH31" s="18">
        <f t="shared" si="10"/>
        <v>0</v>
      </c>
      <c r="AI31" s="18">
        <f t="shared" si="10"/>
        <v>0</v>
      </c>
      <c r="AJ31" s="18">
        <f>N31</f>
        <v>0</v>
      </c>
      <c r="AK31" s="18">
        <f>Z31</f>
        <v>0</v>
      </c>
      <c r="AL31" s="18">
        <f>AI31</f>
        <v>0</v>
      </c>
    </row>
  </sheetData>
  <mergeCells count="1">
    <mergeCell ref="A1:A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6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46" customWidth="1"/>
  </cols>
  <sheetData>
    <row r="1" spans="1:36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</row>
    <row r="2" spans="1:36" ht="19" customHeight="1" x14ac:dyDescent="0.25">
      <c r="A2" s="1" t="s">
        <v>503</v>
      </c>
    </row>
    <row r="3" spans="1:36" x14ac:dyDescent="0.2">
      <c r="A3" s="2" t="s">
        <v>504</v>
      </c>
    </row>
    <row r="5" spans="1:36" ht="16" customHeight="1" x14ac:dyDescent="0.2">
      <c r="A5" s="6" t="s">
        <v>505</v>
      </c>
      <c r="B5" s="7" t="s">
        <v>506</v>
      </c>
      <c r="C5" s="7" t="s">
        <v>507</v>
      </c>
      <c r="D5" s="7" t="s">
        <v>440</v>
      </c>
      <c r="E5" s="7" t="s">
        <v>441</v>
      </c>
      <c r="F5" s="7" t="s">
        <v>442</v>
      </c>
      <c r="G5" s="7" t="s">
        <v>443</v>
      </c>
      <c r="H5" s="7" t="s">
        <v>444</v>
      </c>
      <c r="I5" s="7" t="s">
        <v>445</v>
      </c>
      <c r="J5" s="7" t="s">
        <v>446</v>
      </c>
      <c r="K5" s="7" t="s">
        <v>447</v>
      </c>
      <c r="L5" s="7" t="s">
        <v>448</v>
      </c>
      <c r="M5" s="7" t="s">
        <v>449</v>
      </c>
      <c r="N5" s="7" t="s">
        <v>450</v>
      </c>
      <c r="O5" s="7" t="s">
        <v>451</v>
      </c>
      <c r="P5" s="7" t="s">
        <v>452</v>
      </c>
      <c r="Q5" s="7" t="s">
        <v>453</v>
      </c>
      <c r="R5" s="7" t="s">
        <v>454</v>
      </c>
      <c r="S5" s="7" t="s">
        <v>455</v>
      </c>
      <c r="T5" s="7" t="s">
        <v>456</v>
      </c>
      <c r="U5" s="7" t="s">
        <v>457</v>
      </c>
      <c r="V5" s="7" t="s">
        <v>458</v>
      </c>
      <c r="W5" s="7" t="s">
        <v>459</v>
      </c>
      <c r="X5" s="7" t="s">
        <v>460</v>
      </c>
      <c r="Y5" s="7" t="s">
        <v>461</v>
      </c>
      <c r="Z5" s="7" t="s">
        <v>462</v>
      </c>
      <c r="AA5" s="7" t="s">
        <v>463</v>
      </c>
      <c r="AB5" s="7" t="s">
        <v>464</v>
      </c>
      <c r="AC5" s="7" t="s">
        <v>465</v>
      </c>
      <c r="AD5" s="7" t="s">
        <v>466</v>
      </c>
      <c r="AE5" s="7" t="s">
        <v>467</v>
      </c>
      <c r="AF5" s="7" t="s">
        <v>468</v>
      </c>
      <c r="AG5" s="7" t="s">
        <v>469</v>
      </c>
      <c r="AH5" s="7" t="s">
        <v>470</v>
      </c>
      <c r="AI5" s="7" t="s">
        <v>471</v>
      </c>
      <c r="AJ5" s="7" t="s">
        <v>472</v>
      </c>
    </row>
    <row r="6" spans="1:36" x14ac:dyDescent="0.2">
      <c r="A6" t="s">
        <v>508</v>
      </c>
      <c r="B6" t="s">
        <v>509</v>
      </c>
      <c r="C6" s="21">
        <v>384178.15</v>
      </c>
      <c r="D6" s="21">
        <v>283273.96999999997</v>
      </c>
      <c r="E6" s="21">
        <v>73882.28</v>
      </c>
      <c r="F6" s="21">
        <v>100770.82</v>
      </c>
      <c r="G6" s="21">
        <v>100625.71</v>
      </c>
      <c r="H6" s="21">
        <v>190676.27</v>
      </c>
      <c r="I6" s="21">
        <v>397881.74</v>
      </c>
      <c r="J6" s="21">
        <v>452726.02</v>
      </c>
      <c r="K6" s="21">
        <v>436670.57</v>
      </c>
      <c r="L6" s="21">
        <v>400722.01</v>
      </c>
      <c r="M6" s="21">
        <v>289312.24</v>
      </c>
      <c r="N6" s="21">
        <v>241110.08</v>
      </c>
      <c r="O6" s="21">
        <v>235783.35</v>
      </c>
      <c r="P6" s="21">
        <v>109112.94</v>
      </c>
      <c r="Q6" s="21">
        <v>100352.47</v>
      </c>
      <c r="R6" s="21">
        <v>115450.11</v>
      </c>
      <c r="S6" s="21">
        <v>241567.77</v>
      </c>
      <c r="T6" s="21">
        <v>390525.61</v>
      </c>
      <c r="U6" s="21">
        <v>458978.56</v>
      </c>
      <c r="V6" s="21">
        <v>478263.05</v>
      </c>
      <c r="W6" s="21">
        <v>438601.39</v>
      </c>
      <c r="X6" s="21">
        <v>434335.6</v>
      </c>
      <c r="Y6" s="21">
        <v>322089.65000000002</v>
      </c>
      <c r="Z6" s="21">
        <v>231958.55</v>
      </c>
      <c r="AA6" s="21">
        <v>153494.04999999999</v>
      </c>
      <c r="AB6" s="21">
        <v>72974.759999999995</v>
      </c>
      <c r="AC6" s="21">
        <v>100304.24</v>
      </c>
      <c r="AD6" s="21">
        <v>87020.94</v>
      </c>
      <c r="AE6" s="21">
        <v>100079.8</v>
      </c>
      <c r="AF6" s="21">
        <v>138781.10999999999</v>
      </c>
      <c r="AG6" s="21">
        <v>369552.74</v>
      </c>
      <c r="AH6" s="21">
        <v>422230.39</v>
      </c>
      <c r="AI6" s="21">
        <v>416997.2</v>
      </c>
      <c r="AJ6" s="21">
        <v>354459.44</v>
      </c>
    </row>
    <row r="7" spans="1:36" x14ac:dyDescent="0.2">
      <c r="A7" t="s">
        <v>510</v>
      </c>
      <c r="B7" t="s">
        <v>511</v>
      </c>
      <c r="C7" s="21">
        <v>0</v>
      </c>
      <c r="D7" s="21">
        <v>6011.42</v>
      </c>
      <c r="E7" s="21">
        <v>6079.2</v>
      </c>
      <c r="F7" s="21">
        <v>778.02</v>
      </c>
      <c r="G7" s="21">
        <v>24424.63</v>
      </c>
      <c r="H7" s="21">
        <v>21719.279999999999</v>
      </c>
      <c r="I7" s="21">
        <v>4303.42</v>
      </c>
      <c r="J7" s="21">
        <v>28088.37</v>
      </c>
      <c r="K7" s="21">
        <v>17785.72</v>
      </c>
      <c r="L7" s="21">
        <v>11413.96</v>
      </c>
      <c r="M7" s="21">
        <v>11003.07</v>
      </c>
      <c r="N7" s="21">
        <v>12760.16</v>
      </c>
      <c r="O7" s="21">
        <v>5502.49</v>
      </c>
      <c r="P7" s="21">
        <v>8886.0300000000007</v>
      </c>
      <c r="Q7" s="21">
        <v>7888.69</v>
      </c>
      <c r="R7" s="21">
        <v>1836.55</v>
      </c>
      <c r="S7" s="21">
        <v>20615.759999999998</v>
      </c>
      <c r="T7" s="21">
        <v>19531.73</v>
      </c>
      <c r="U7" s="21">
        <v>26304.55</v>
      </c>
      <c r="V7" s="21">
        <v>11780.97</v>
      </c>
      <c r="W7" s="21">
        <v>13136.96</v>
      </c>
      <c r="X7" s="21">
        <v>9645.09</v>
      </c>
      <c r="Y7" s="21">
        <v>4239.3100000000004</v>
      </c>
      <c r="Z7" s="21">
        <v>701.12</v>
      </c>
      <c r="AA7" s="21">
        <v>11229.61</v>
      </c>
      <c r="AB7" s="21">
        <v>8783.89</v>
      </c>
      <c r="AC7" s="21">
        <v>4528.41</v>
      </c>
      <c r="AD7" s="21">
        <v>5440.15</v>
      </c>
      <c r="AE7" s="21">
        <v>14957.13</v>
      </c>
      <c r="AF7" s="21">
        <v>15569.58</v>
      </c>
      <c r="AG7" s="21">
        <v>25426.66</v>
      </c>
      <c r="AH7" s="21">
        <v>15443.31</v>
      </c>
      <c r="AI7" s="21">
        <v>14067.56</v>
      </c>
      <c r="AJ7" s="21">
        <v>13241.55</v>
      </c>
    </row>
    <row r="8" spans="1:36" x14ac:dyDescent="0.2">
      <c r="A8" t="s">
        <v>512</v>
      </c>
      <c r="B8" t="s">
        <v>513</v>
      </c>
      <c r="C8" s="21">
        <v>0</v>
      </c>
      <c r="D8" s="21">
        <v>2765.69</v>
      </c>
      <c r="E8" s="21">
        <v>0</v>
      </c>
      <c r="F8" s="21">
        <v>0</v>
      </c>
      <c r="G8" s="21">
        <v>10099.950000000001</v>
      </c>
      <c r="H8" s="21">
        <v>14741.41</v>
      </c>
      <c r="I8" s="21">
        <v>7423.15</v>
      </c>
      <c r="J8" s="21">
        <v>0</v>
      </c>
      <c r="K8" s="21">
        <v>22506.97</v>
      </c>
      <c r="L8" s="21">
        <v>0</v>
      </c>
      <c r="M8" s="21">
        <v>3001.94</v>
      </c>
      <c r="N8" s="21">
        <v>7696.88</v>
      </c>
      <c r="O8" s="21">
        <v>0</v>
      </c>
      <c r="P8" s="21">
        <v>0</v>
      </c>
      <c r="Q8" s="21">
        <v>0</v>
      </c>
      <c r="R8" s="21">
        <v>0</v>
      </c>
      <c r="S8" s="21">
        <v>11485.41</v>
      </c>
      <c r="T8" s="21">
        <v>11873.38</v>
      </c>
      <c r="U8" s="21">
        <v>19506.66</v>
      </c>
      <c r="V8" s="21">
        <v>0</v>
      </c>
      <c r="W8" s="21">
        <v>16594.23</v>
      </c>
      <c r="X8" s="21">
        <v>7031.94</v>
      </c>
      <c r="Y8" s="21">
        <v>2471.69</v>
      </c>
      <c r="Z8" s="21">
        <v>0</v>
      </c>
      <c r="AA8" s="21">
        <v>0</v>
      </c>
      <c r="AB8" s="21">
        <v>0</v>
      </c>
      <c r="AC8" s="21">
        <v>3742.21</v>
      </c>
      <c r="AD8" s="21">
        <v>5976.04</v>
      </c>
      <c r="AE8" s="21">
        <v>2550.44</v>
      </c>
      <c r="AF8" s="21">
        <v>7924.45</v>
      </c>
      <c r="AG8" s="21">
        <v>4456.83</v>
      </c>
      <c r="AH8" s="21">
        <v>9472.67</v>
      </c>
      <c r="AI8" s="21">
        <v>13623.78</v>
      </c>
      <c r="AJ8" s="21">
        <v>6713.68</v>
      </c>
    </row>
    <row r="9" spans="1:36" x14ac:dyDescent="0.2">
      <c r="A9" t="s">
        <v>514</v>
      </c>
      <c r="B9" t="s">
        <v>515</v>
      </c>
      <c r="C9" s="21">
        <v>0</v>
      </c>
      <c r="D9" s="21">
        <v>0</v>
      </c>
      <c r="E9" s="21">
        <v>0</v>
      </c>
      <c r="F9" s="21">
        <v>2971.48</v>
      </c>
      <c r="G9" s="21">
        <v>0</v>
      </c>
      <c r="H9" s="21">
        <v>9555.66</v>
      </c>
      <c r="I9" s="21">
        <v>3072.7</v>
      </c>
      <c r="J9" s="21">
        <v>2833.95</v>
      </c>
      <c r="K9" s="21">
        <v>0</v>
      </c>
      <c r="L9" s="21">
        <v>0</v>
      </c>
      <c r="M9" s="21">
        <v>0</v>
      </c>
      <c r="N9" s="21">
        <v>0</v>
      </c>
      <c r="O9" s="21">
        <v>8593.18</v>
      </c>
      <c r="P9" s="21">
        <v>178.49</v>
      </c>
      <c r="Q9" s="21">
        <v>0</v>
      </c>
      <c r="R9" s="21">
        <v>0</v>
      </c>
      <c r="S9" s="21">
        <v>0</v>
      </c>
      <c r="T9" s="21">
        <v>0</v>
      </c>
      <c r="U9" s="21">
        <v>4879.32</v>
      </c>
      <c r="V9" s="21">
        <v>14415.41</v>
      </c>
      <c r="W9" s="21">
        <v>6615.24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3006.13</v>
      </c>
      <c r="AD9" s="21">
        <v>7435.43</v>
      </c>
      <c r="AE9" s="21">
        <v>0</v>
      </c>
      <c r="AF9" s="21">
        <v>5051.41</v>
      </c>
      <c r="AG9" s="21">
        <v>2922.77</v>
      </c>
      <c r="AH9" s="21">
        <v>0</v>
      </c>
      <c r="AI9" s="21">
        <v>103.95</v>
      </c>
      <c r="AJ9" s="21">
        <v>10.49</v>
      </c>
    </row>
    <row r="10" spans="1:36" x14ac:dyDescent="0.2">
      <c r="A10" t="s">
        <v>516</v>
      </c>
      <c r="B10" t="s">
        <v>517</v>
      </c>
      <c r="C10" s="21">
        <v>0</v>
      </c>
      <c r="D10" s="21">
        <v>887.37</v>
      </c>
      <c r="E10" s="21">
        <v>1482.73</v>
      </c>
      <c r="F10" s="21">
        <v>922.33</v>
      </c>
      <c r="G10" s="21">
        <v>762.63</v>
      </c>
      <c r="H10" s="21">
        <v>1016.85</v>
      </c>
      <c r="I10" s="21">
        <v>915.72</v>
      </c>
      <c r="J10" s="21">
        <v>1470.45</v>
      </c>
      <c r="K10" s="21">
        <v>1478.01</v>
      </c>
      <c r="L10" s="21">
        <v>1238.93</v>
      </c>
      <c r="M10" s="21">
        <v>878.87</v>
      </c>
      <c r="N10" s="21">
        <v>1523.36</v>
      </c>
      <c r="O10" s="21">
        <v>776.79</v>
      </c>
      <c r="P10" s="21">
        <v>1331.52</v>
      </c>
      <c r="Q10" s="21">
        <v>1649.99</v>
      </c>
      <c r="R10" s="21">
        <v>2819.91</v>
      </c>
      <c r="S10" s="21">
        <v>1898.53</v>
      </c>
      <c r="T10" s="21">
        <v>3367.09</v>
      </c>
      <c r="U10" s="21">
        <v>3276.37</v>
      </c>
      <c r="V10" s="21">
        <v>2736.77</v>
      </c>
      <c r="W10" s="21">
        <v>1942.96</v>
      </c>
      <c r="X10" s="21">
        <v>2466.5</v>
      </c>
      <c r="Y10" s="21">
        <v>2165.9699999999998</v>
      </c>
      <c r="Z10" s="21">
        <v>1698.18</v>
      </c>
      <c r="AA10" s="21">
        <v>1955.24</v>
      </c>
      <c r="AB10" s="21">
        <v>2632.81</v>
      </c>
      <c r="AC10" s="21">
        <v>2839.74</v>
      </c>
      <c r="AD10" s="21">
        <v>2002.47</v>
      </c>
      <c r="AE10" s="21">
        <v>2981.52</v>
      </c>
      <c r="AF10" s="21">
        <v>2433.41</v>
      </c>
      <c r="AG10" s="21">
        <v>3260.3</v>
      </c>
      <c r="AH10" s="21">
        <v>3672.3</v>
      </c>
      <c r="AI10" s="21">
        <v>3028.76</v>
      </c>
      <c r="AJ10" s="21">
        <v>2758.5</v>
      </c>
    </row>
    <row r="11" spans="1:36" x14ac:dyDescent="0.2">
      <c r="A11" t="s">
        <v>518</v>
      </c>
      <c r="B11" t="s">
        <v>519</v>
      </c>
      <c r="C11" s="21">
        <v>237697.93</v>
      </c>
      <c r="D11" s="21">
        <v>349578.53</v>
      </c>
      <c r="E11" s="21">
        <v>511975.69</v>
      </c>
      <c r="F11" s="21">
        <v>678710.31</v>
      </c>
      <c r="G11" s="21">
        <v>579158.97</v>
      </c>
      <c r="H11" s="21">
        <v>390873.1</v>
      </c>
      <c r="I11" s="21">
        <v>317051.88</v>
      </c>
      <c r="J11" s="21">
        <v>316752.7</v>
      </c>
      <c r="K11" s="21">
        <v>332144.87</v>
      </c>
      <c r="L11" s="21">
        <v>389634.13</v>
      </c>
      <c r="M11" s="21">
        <v>371878.78</v>
      </c>
      <c r="N11" s="21">
        <v>368673.68</v>
      </c>
      <c r="O11" s="21">
        <v>410467.71</v>
      </c>
      <c r="P11" s="21">
        <v>443372.09</v>
      </c>
      <c r="Q11" s="21">
        <v>426880.82</v>
      </c>
      <c r="R11" s="21">
        <v>420183.86</v>
      </c>
      <c r="S11" s="21">
        <v>311582.46000000002</v>
      </c>
      <c r="T11" s="21">
        <v>234560.28</v>
      </c>
      <c r="U11" s="21">
        <v>238496.44</v>
      </c>
      <c r="V11" s="21">
        <v>287015.18</v>
      </c>
      <c r="W11" s="21">
        <v>266654.03999999998</v>
      </c>
      <c r="X11" s="21">
        <v>307577.71000000002</v>
      </c>
      <c r="Y11" s="21">
        <v>379861.45</v>
      </c>
      <c r="Z11" s="21">
        <v>381919.76</v>
      </c>
      <c r="AA11" s="21">
        <v>415275.11</v>
      </c>
      <c r="AB11" s="21">
        <v>420900.66</v>
      </c>
      <c r="AC11" s="21">
        <v>504446.16</v>
      </c>
      <c r="AD11" s="21">
        <v>652730.09</v>
      </c>
      <c r="AE11" s="21">
        <v>589924.93999999994</v>
      </c>
      <c r="AF11" s="21">
        <v>405109.75</v>
      </c>
      <c r="AG11" s="21">
        <v>317073.75</v>
      </c>
      <c r="AH11" s="21">
        <v>302597.06</v>
      </c>
      <c r="AI11" s="21">
        <v>277538.02</v>
      </c>
      <c r="AJ11" s="21">
        <v>342554.88</v>
      </c>
    </row>
    <row r="12" spans="1:36" x14ac:dyDescent="0.2">
      <c r="A12" t="s">
        <v>520</v>
      </c>
      <c r="B12" t="s">
        <v>261</v>
      </c>
      <c r="C12" s="21">
        <v>0</v>
      </c>
      <c r="D12" s="21">
        <v>1793.49</v>
      </c>
      <c r="E12" s="21">
        <v>1416.61</v>
      </c>
      <c r="F12" s="21">
        <v>4766.22</v>
      </c>
      <c r="G12" s="21">
        <v>4914.05</v>
      </c>
      <c r="H12" s="21">
        <v>9206.33</v>
      </c>
      <c r="I12" s="21">
        <v>17678.89</v>
      </c>
      <c r="J12" s="21">
        <v>13983.06</v>
      </c>
      <c r="K12" s="21">
        <v>8549.32</v>
      </c>
      <c r="L12" s="21">
        <v>2393.71</v>
      </c>
      <c r="M12" s="21">
        <v>4179.17</v>
      </c>
      <c r="N12" s="21">
        <v>2360.6799999999998</v>
      </c>
      <c r="O12" s="21">
        <v>1715.1</v>
      </c>
      <c r="P12" s="21">
        <v>2074.7399999999998</v>
      </c>
      <c r="Q12" s="21">
        <v>3262.13</v>
      </c>
      <c r="R12" s="21">
        <v>3723.83</v>
      </c>
      <c r="S12" s="21">
        <v>4559.47</v>
      </c>
      <c r="T12" s="21">
        <v>13663.06</v>
      </c>
      <c r="U12" s="21">
        <v>12230.34</v>
      </c>
      <c r="V12" s="21">
        <v>10213.1</v>
      </c>
      <c r="W12" s="21">
        <v>7557.49</v>
      </c>
      <c r="X12" s="21">
        <v>2282.79</v>
      </c>
      <c r="Y12" s="21">
        <v>2091.4</v>
      </c>
      <c r="Z12" s="21">
        <v>1831.21</v>
      </c>
      <c r="AA12" s="21">
        <v>900.16</v>
      </c>
      <c r="AB12" s="21">
        <v>1666.38</v>
      </c>
      <c r="AC12" s="21">
        <v>3466.25</v>
      </c>
      <c r="AD12" s="21">
        <v>6124.01</v>
      </c>
      <c r="AE12" s="21">
        <v>9625.83</v>
      </c>
      <c r="AF12" s="21">
        <v>7544.97</v>
      </c>
      <c r="AG12" s="21">
        <v>7199.53</v>
      </c>
      <c r="AH12" s="21">
        <v>4844.33</v>
      </c>
      <c r="AI12" s="21">
        <v>3495.83</v>
      </c>
      <c r="AJ12" s="21">
        <v>8663.7999999999993</v>
      </c>
    </row>
    <row r="13" spans="1:36" x14ac:dyDescent="0.2">
      <c r="A13" t="s">
        <v>521</v>
      </c>
      <c r="B13" t="s">
        <v>522</v>
      </c>
      <c r="C13" s="21">
        <v>0</v>
      </c>
      <c r="D13" s="21">
        <v>25300</v>
      </c>
      <c r="E13" s="21">
        <v>23000</v>
      </c>
      <c r="F13" s="21">
        <v>20700</v>
      </c>
      <c r="G13" s="21">
        <v>18400</v>
      </c>
      <c r="H13" s="21">
        <v>16100</v>
      </c>
      <c r="I13" s="21">
        <v>13800</v>
      </c>
      <c r="J13" s="21">
        <v>11500</v>
      </c>
      <c r="K13" s="21">
        <v>9200</v>
      </c>
      <c r="L13" s="21">
        <v>6900</v>
      </c>
      <c r="M13" s="21">
        <v>4600</v>
      </c>
      <c r="N13" s="21">
        <v>2300</v>
      </c>
      <c r="O13" s="21">
        <v>0</v>
      </c>
      <c r="P13" s="21">
        <v>26312</v>
      </c>
      <c r="Q13" s="21">
        <v>23920</v>
      </c>
      <c r="R13" s="21">
        <v>21528</v>
      </c>
      <c r="S13" s="21">
        <v>19136</v>
      </c>
      <c r="T13" s="21">
        <v>16744</v>
      </c>
      <c r="U13" s="21">
        <v>14352</v>
      </c>
      <c r="V13" s="21">
        <v>11960</v>
      </c>
      <c r="W13" s="21">
        <v>9568</v>
      </c>
      <c r="X13" s="21">
        <v>7176</v>
      </c>
      <c r="Y13" s="21">
        <v>4784</v>
      </c>
      <c r="Z13" s="21">
        <v>2392</v>
      </c>
      <c r="AA13" s="21">
        <v>0</v>
      </c>
      <c r="AB13" s="21">
        <v>27364.48</v>
      </c>
      <c r="AC13" s="21">
        <v>24876.799999999999</v>
      </c>
      <c r="AD13" s="21">
        <v>22389.119999999999</v>
      </c>
      <c r="AE13" s="21">
        <v>19901.439999999999</v>
      </c>
      <c r="AF13" s="21">
        <v>17413.759999999998</v>
      </c>
      <c r="AG13" s="21">
        <v>14926.08</v>
      </c>
      <c r="AH13" s="21">
        <v>12438.4</v>
      </c>
      <c r="AI13" s="21">
        <v>9950.7199999999993</v>
      </c>
      <c r="AJ13" s="21">
        <v>7463.04</v>
      </c>
    </row>
    <row r="14" spans="1:36" x14ac:dyDescent="0.2">
      <c r="A14" t="s">
        <v>523</v>
      </c>
      <c r="B14" t="s">
        <v>524</v>
      </c>
      <c r="C14" s="21">
        <v>0</v>
      </c>
      <c r="D14" s="21">
        <v>41768.22</v>
      </c>
      <c r="E14" s="21">
        <v>67541.2</v>
      </c>
      <c r="F14" s="21">
        <v>28535.91</v>
      </c>
      <c r="G14" s="21">
        <v>4828.28</v>
      </c>
      <c r="H14" s="21">
        <v>29215.17</v>
      </c>
      <c r="I14" s="21">
        <v>36919.800000000003</v>
      </c>
      <c r="J14" s="21">
        <v>30663.42</v>
      </c>
      <c r="K14" s="21">
        <v>15096.9</v>
      </c>
      <c r="L14" s="21">
        <v>23509.71</v>
      </c>
      <c r="M14" s="21">
        <v>26161.11</v>
      </c>
      <c r="N14" s="21">
        <v>17675.86</v>
      </c>
      <c r="O14" s="21">
        <v>7737.92</v>
      </c>
      <c r="P14" s="21">
        <v>2414.31</v>
      </c>
      <c r="Q14" s="21">
        <v>7599.92</v>
      </c>
      <c r="R14" s="21">
        <v>9095.93</v>
      </c>
      <c r="S14" s="21">
        <v>25552.34</v>
      </c>
      <c r="T14" s="21">
        <v>42265.97</v>
      </c>
      <c r="U14" s="21">
        <v>50627.97</v>
      </c>
      <c r="V14" s="21">
        <v>32041.39</v>
      </c>
      <c r="W14" s="21">
        <v>31135.94</v>
      </c>
      <c r="X14" s="21">
        <v>21260.75</v>
      </c>
      <c r="Y14" s="21">
        <v>10604.58</v>
      </c>
      <c r="Z14" s="21">
        <v>10949.52</v>
      </c>
      <c r="AA14" s="21">
        <v>8391.91</v>
      </c>
      <c r="AB14" s="21">
        <v>1931.31</v>
      </c>
      <c r="AC14" s="21">
        <v>53700.67</v>
      </c>
      <c r="AD14" s="21">
        <v>40331.089999999997</v>
      </c>
      <c r="AE14" s="21">
        <v>13941.62</v>
      </c>
      <c r="AF14" s="21">
        <v>22959.82</v>
      </c>
      <c r="AG14" s="21">
        <v>24118.47</v>
      </c>
      <c r="AH14" s="21">
        <v>42187.61</v>
      </c>
      <c r="AI14" s="21">
        <v>49714.79</v>
      </c>
      <c r="AJ14" s="21">
        <v>19329.82</v>
      </c>
    </row>
    <row r="15" spans="1:36" x14ac:dyDescent="0.2">
      <c r="A15" t="s">
        <v>525</v>
      </c>
      <c r="B15" t="s">
        <v>526</v>
      </c>
      <c r="C15" s="21">
        <v>0</v>
      </c>
      <c r="D15" s="21">
        <v>9984.44</v>
      </c>
      <c r="E15" s="21">
        <v>22811.88</v>
      </c>
      <c r="F15" s="21">
        <v>38532.81</v>
      </c>
      <c r="G15" s="21">
        <v>9342.7099999999991</v>
      </c>
      <c r="H15" s="21">
        <v>15785.34</v>
      </c>
      <c r="I15" s="21">
        <v>26495.09</v>
      </c>
      <c r="J15" s="21">
        <v>14634.04</v>
      </c>
      <c r="K15" s="21">
        <v>28053.51</v>
      </c>
      <c r="L15" s="21">
        <v>39413.89</v>
      </c>
      <c r="M15" s="21">
        <v>6242.52</v>
      </c>
      <c r="N15" s="21">
        <v>12234.88</v>
      </c>
      <c r="O15" s="21">
        <v>20450.16</v>
      </c>
      <c r="P15" s="21">
        <v>5906.67</v>
      </c>
      <c r="Q15" s="21">
        <v>9210.67</v>
      </c>
      <c r="R15" s="21">
        <v>14798.39</v>
      </c>
      <c r="S15" s="21">
        <v>8575.14</v>
      </c>
      <c r="T15" s="21">
        <v>20450.18</v>
      </c>
      <c r="U15" s="21">
        <v>35883.440000000002</v>
      </c>
      <c r="V15" s="21">
        <v>16279.98</v>
      </c>
      <c r="W15" s="21">
        <v>28707.75</v>
      </c>
      <c r="X15" s="21">
        <v>40733.300000000003</v>
      </c>
      <c r="Y15" s="21">
        <v>10179.57</v>
      </c>
      <c r="Z15" s="21">
        <v>16503.78</v>
      </c>
      <c r="AA15" s="21">
        <v>22995.08</v>
      </c>
      <c r="AB15" s="21">
        <v>5392.38</v>
      </c>
      <c r="AC15" s="21">
        <v>15464.75</v>
      </c>
      <c r="AD15" s="21">
        <v>31197.98</v>
      </c>
      <c r="AE15" s="21">
        <v>10424.870000000001</v>
      </c>
      <c r="AF15" s="21">
        <v>18807.759999999998</v>
      </c>
      <c r="AG15" s="21">
        <v>30778</v>
      </c>
      <c r="AH15" s="21">
        <v>13766.3</v>
      </c>
      <c r="AI15" s="21">
        <v>26406.79</v>
      </c>
      <c r="AJ15" s="21">
        <v>38811.25</v>
      </c>
    </row>
    <row r="16" spans="1:36" x14ac:dyDescent="0.2">
      <c r="A16" t="s">
        <v>527</v>
      </c>
      <c r="B16" t="s">
        <v>528</v>
      </c>
      <c r="C16" s="21">
        <v>165000</v>
      </c>
      <c r="D16" s="21">
        <v>165000</v>
      </c>
      <c r="E16" s="21">
        <v>165000</v>
      </c>
      <c r="F16" s="21">
        <v>165000</v>
      </c>
      <c r="G16" s="21">
        <v>165000</v>
      </c>
      <c r="H16" s="21">
        <v>165000</v>
      </c>
      <c r="I16" s="21">
        <v>165000</v>
      </c>
      <c r="J16" s="21">
        <v>165000</v>
      </c>
      <c r="K16" s="21">
        <v>165000</v>
      </c>
      <c r="L16" s="21">
        <v>165000</v>
      </c>
      <c r="M16" s="21">
        <v>165000</v>
      </c>
      <c r="N16" s="21">
        <v>165000</v>
      </c>
      <c r="O16" s="21">
        <v>165000</v>
      </c>
      <c r="P16" s="21">
        <v>165000</v>
      </c>
      <c r="Q16" s="21">
        <v>165000</v>
      </c>
      <c r="R16" s="21">
        <v>165000</v>
      </c>
      <c r="S16" s="21">
        <v>165000</v>
      </c>
      <c r="T16" s="21">
        <v>171500</v>
      </c>
      <c r="U16" s="21">
        <v>171500</v>
      </c>
      <c r="V16" s="21">
        <v>171500</v>
      </c>
      <c r="W16" s="21">
        <v>171500</v>
      </c>
      <c r="X16" s="21">
        <v>171500</v>
      </c>
      <c r="Y16" s="21">
        <v>171500</v>
      </c>
      <c r="Z16" s="21">
        <v>171500</v>
      </c>
      <c r="AA16" s="21">
        <v>171500</v>
      </c>
      <c r="AB16" s="21">
        <v>171500</v>
      </c>
      <c r="AC16" s="21">
        <v>171500</v>
      </c>
      <c r="AD16" s="21">
        <v>171500</v>
      </c>
      <c r="AE16" s="21">
        <v>171500</v>
      </c>
      <c r="AF16" s="21">
        <v>171500</v>
      </c>
      <c r="AG16" s="21">
        <v>171500</v>
      </c>
      <c r="AH16" s="21">
        <v>171500</v>
      </c>
      <c r="AI16" s="21">
        <v>171500</v>
      </c>
      <c r="AJ16" s="21">
        <v>171500</v>
      </c>
    </row>
    <row r="17" spans="1:36" x14ac:dyDescent="0.2">
      <c r="A17" t="s">
        <v>529</v>
      </c>
      <c r="B17" t="s">
        <v>530</v>
      </c>
      <c r="C17" s="21">
        <v>38000</v>
      </c>
      <c r="D17" s="21">
        <v>38000</v>
      </c>
      <c r="E17" s="21">
        <v>38000</v>
      </c>
      <c r="F17" s="21">
        <v>38000</v>
      </c>
      <c r="G17" s="21">
        <v>52500</v>
      </c>
      <c r="H17" s="21">
        <v>52500</v>
      </c>
      <c r="I17" s="21">
        <v>52500</v>
      </c>
      <c r="J17" s="21">
        <v>52500</v>
      </c>
      <c r="K17" s="21">
        <v>52500</v>
      </c>
      <c r="L17" s="21">
        <v>52500</v>
      </c>
      <c r="M17" s="21">
        <v>52500</v>
      </c>
      <c r="N17" s="21">
        <v>52500</v>
      </c>
      <c r="O17" s="21">
        <v>52500</v>
      </c>
      <c r="P17" s="21">
        <v>52500</v>
      </c>
      <c r="Q17" s="21">
        <v>52500</v>
      </c>
      <c r="R17" s="21">
        <v>62300</v>
      </c>
      <c r="S17" s="21">
        <v>62300</v>
      </c>
      <c r="T17" s="21">
        <v>62300</v>
      </c>
      <c r="U17" s="21">
        <v>62300</v>
      </c>
      <c r="V17" s="21">
        <v>62300</v>
      </c>
      <c r="W17" s="21">
        <v>62300</v>
      </c>
      <c r="X17" s="21">
        <v>62300</v>
      </c>
      <c r="Y17" s="21">
        <v>62300</v>
      </c>
      <c r="Z17" s="21">
        <v>62300</v>
      </c>
      <c r="AA17" s="21">
        <v>62300</v>
      </c>
      <c r="AB17" s="21">
        <v>62300</v>
      </c>
      <c r="AC17" s="21">
        <v>62300</v>
      </c>
      <c r="AD17" s="21">
        <v>62300</v>
      </c>
      <c r="AE17" s="21">
        <v>69500</v>
      </c>
      <c r="AF17" s="21">
        <v>69500</v>
      </c>
      <c r="AG17" s="21">
        <v>69500</v>
      </c>
      <c r="AH17" s="21">
        <v>69500</v>
      </c>
      <c r="AI17" s="21">
        <v>69500</v>
      </c>
      <c r="AJ17" s="21">
        <v>69500</v>
      </c>
    </row>
    <row r="18" spans="1:36" x14ac:dyDescent="0.2">
      <c r="A18" t="s">
        <v>531</v>
      </c>
      <c r="B18" t="s">
        <v>532</v>
      </c>
      <c r="C18" s="21">
        <v>22000</v>
      </c>
      <c r="D18" s="21">
        <v>22000</v>
      </c>
      <c r="E18" s="21">
        <v>22000</v>
      </c>
      <c r="F18" s="21">
        <v>22000</v>
      </c>
      <c r="G18" s="21">
        <v>22000</v>
      </c>
      <c r="H18" s="21">
        <v>22000</v>
      </c>
      <c r="I18" s="21">
        <v>22000</v>
      </c>
      <c r="J18" s="21">
        <v>22000</v>
      </c>
      <c r="K18" s="21">
        <v>22000</v>
      </c>
      <c r="L18" s="21">
        <v>22000</v>
      </c>
      <c r="M18" s="21">
        <v>22000</v>
      </c>
      <c r="N18" s="21">
        <v>22000</v>
      </c>
      <c r="O18" s="21">
        <v>22000</v>
      </c>
      <c r="P18" s="21">
        <v>22000</v>
      </c>
      <c r="Q18" s="21">
        <v>22000</v>
      </c>
      <c r="R18" s="21">
        <v>22000</v>
      </c>
      <c r="S18" s="21">
        <v>22000</v>
      </c>
      <c r="T18" s="21">
        <v>22000</v>
      </c>
      <c r="U18" s="21">
        <v>22000</v>
      </c>
      <c r="V18" s="21">
        <v>22000</v>
      </c>
      <c r="W18" s="21">
        <v>22000</v>
      </c>
      <c r="X18" s="21">
        <v>22000</v>
      </c>
      <c r="Y18" s="21">
        <v>22000</v>
      </c>
      <c r="Z18" s="21">
        <v>22000</v>
      </c>
      <c r="AA18" s="21">
        <v>22000</v>
      </c>
      <c r="AB18" s="21">
        <v>22000</v>
      </c>
      <c r="AC18" s="21">
        <v>40000</v>
      </c>
      <c r="AD18" s="21">
        <v>40000</v>
      </c>
      <c r="AE18" s="21">
        <v>40000</v>
      </c>
      <c r="AF18" s="21">
        <v>40000</v>
      </c>
      <c r="AG18" s="21">
        <v>40000</v>
      </c>
      <c r="AH18" s="21">
        <v>40000</v>
      </c>
      <c r="AI18" s="21">
        <v>40000</v>
      </c>
      <c r="AJ18" s="21">
        <v>40000</v>
      </c>
    </row>
    <row r="19" spans="1:36" x14ac:dyDescent="0.2">
      <c r="A19" t="s">
        <v>533</v>
      </c>
      <c r="B19" t="s">
        <v>271</v>
      </c>
      <c r="C19" s="21">
        <v>-5238.88</v>
      </c>
      <c r="D19" s="21">
        <v>-7858.32</v>
      </c>
      <c r="E19" s="21">
        <v>-10477.76</v>
      </c>
      <c r="F19" s="21">
        <v>-13097.2</v>
      </c>
      <c r="G19" s="21">
        <v>-15716.64</v>
      </c>
      <c r="H19" s="21">
        <v>-18577.75</v>
      </c>
      <c r="I19" s="21">
        <v>-21438.86</v>
      </c>
      <c r="J19" s="21">
        <v>-24299.97</v>
      </c>
      <c r="K19" s="21">
        <v>-27161.08</v>
      </c>
      <c r="L19" s="21">
        <v>-30022.19</v>
      </c>
      <c r="M19" s="21">
        <v>-32883.300000000003</v>
      </c>
      <c r="N19" s="21">
        <v>-35744.410000000003</v>
      </c>
      <c r="O19" s="21">
        <v>-38605.519999999997</v>
      </c>
      <c r="P19" s="21">
        <v>-41466.629999999997</v>
      </c>
      <c r="Q19" s="21">
        <v>-44327.74</v>
      </c>
      <c r="R19" s="21">
        <v>-47188.85</v>
      </c>
      <c r="S19" s="21">
        <v>-50213.29</v>
      </c>
      <c r="T19" s="21">
        <v>-53237.73</v>
      </c>
      <c r="U19" s="21">
        <v>-56329.88</v>
      </c>
      <c r="V19" s="21">
        <v>-59422.03</v>
      </c>
      <c r="W19" s="21">
        <v>-62514.18</v>
      </c>
      <c r="X19" s="21">
        <v>-65606.33</v>
      </c>
      <c r="Y19" s="21">
        <v>-68698.48</v>
      </c>
      <c r="Z19" s="21">
        <v>-71790.63</v>
      </c>
      <c r="AA19" s="21">
        <v>-74882.78</v>
      </c>
      <c r="AB19" s="21">
        <v>-77974.929999999993</v>
      </c>
      <c r="AC19" s="21">
        <v>-81067.08</v>
      </c>
      <c r="AD19" s="21">
        <v>-84659.23</v>
      </c>
      <c r="AE19" s="21">
        <v>-88251.38</v>
      </c>
      <c r="AF19" s="21">
        <v>-91963.53</v>
      </c>
      <c r="AG19" s="21">
        <v>-95675.68</v>
      </c>
      <c r="AH19" s="21">
        <v>-99387.83</v>
      </c>
      <c r="AI19" s="21">
        <v>-103099.98</v>
      </c>
      <c r="AJ19" s="21">
        <v>-106812.13</v>
      </c>
    </row>
    <row r="20" spans="1:36" x14ac:dyDescent="0.2">
      <c r="A20" t="s">
        <v>534</v>
      </c>
      <c r="B20" t="s">
        <v>535</v>
      </c>
      <c r="C20" s="21">
        <v>-55276.08</v>
      </c>
      <c r="D20" s="21">
        <v>-157912.9</v>
      </c>
      <c r="E20" s="21">
        <v>-168874.11</v>
      </c>
      <c r="F20" s="21">
        <v>-209481.54</v>
      </c>
      <c r="G20" s="21">
        <v>-91675.32</v>
      </c>
      <c r="H20" s="21">
        <v>-81234.8</v>
      </c>
      <c r="I20" s="21">
        <v>-165012.84</v>
      </c>
      <c r="J20" s="21">
        <v>-208273.43</v>
      </c>
      <c r="K20" s="21">
        <v>-171774.31</v>
      </c>
      <c r="L20" s="21">
        <v>-176707.44</v>
      </c>
      <c r="M20" s="21">
        <v>-83872.98</v>
      </c>
      <c r="N20" s="21">
        <v>-56825.26</v>
      </c>
      <c r="O20" s="21">
        <v>-103871.92</v>
      </c>
      <c r="P20" s="21">
        <v>-72745.97</v>
      </c>
      <c r="Q20" s="21">
        <v>-32686.95</v>
      </c>
      <c r="R20" s="21">
        <v>-57288.87</v>
      </c>
      <c r="S20" s="21">
        <v>-122737.31</v>
      </c>
      <c r="T20" s="21">
        <v>-170301.83</v>
      </c>
      <c r="U20" s="21">
        <v>-223249.48</v>
      </c>
      <c r="V20" s="21">
        <v>-248440.11</v>
      </c>
      <c r="W20" s="21">
        <v>-162270.22</v>
      </c>
      <c r="X20" s="21">
        <v>-158125.9</v>
      </c>
      <c r="Y20" s="21">
        <v>-138153.92000000001</v>
      </c>
      <c r="Z20" s="21">
        <v>-75228.3</v>
      </c>
      <c r="AA20" s="21">
        <v>-82162.11</v>
      </c>
      <c r="AB20" s="21">
        <v>-59177.18</v>
      </c>
      <c r="AC20" s="21">
        <v>-122896.69</v>
      </c>
      <c r="AD20" s="21">
        <v>-258699.43</v>
      </c>
      <c r="AE20" s="21">
        <v>-106677.57</v>
      </c>
      <c r="AF20" s="21">
        <v>-100959.72</v>
      </c>
      <c r="AG20" s="21">
        <v>-180225.28</v>
      </c>
      <c r="AH20" s="21">
        <v>-220589.77</v>
      </c>
      <c r="AI20" s="21">
        <v>-165873.82</v>
      </c>
      <c r="AJ20" s="21">
        <v>-157952.65</v>
      </c>
    </row>
    <row r="21" spans="1:36" x14ac:dyDescent="0.2">
      <c r="A21" t="s">
        <v>536</v>
      </c>
      <c r="B21" t="s">
        <v>537</v>
      </c>
      <c r="C21" s="21">
        <v>0</v>
      </c>
      <c r="D21" s="21">
        <v>-22560.42</v>
      </c>
      <c r="E21" s="21">
        <v>-24668.73</v>
      </c>
      <c r="F21" s="21">
        <v>-30807.97</v>
      </c>
      <c r="G21" s="21">
        <v>-31266.29</v>
      </c>
      <c r="H21" s="21">
        <v>-30471.23</v>
      </c>
      <c r="I21" s="21">
        <v>-31414.53</v>
      </c>
      <c r="J21" s="21">
        <v>-32692.63</v>
      </c>
      <c r="K21" s="21">
        <v>-31295.62</v>
      </c>
      <c r="L21" s="21">
        <v>-26762.53</v>
      </c>
      <c r="M21" s="21">
        <v>-21629.279999999999</v>
      </c>
      <c r="N21" s="21">
        <v>-21137.97</v>
      </c>
      <c r="O21" s="21">
        <v>-22266.68</v>
      </c>
      <c r="P21" s="21">
        <v>-20100.21</v>
      </c>
      <c r="Q21" s="21">
        <v>-18846.61</v>
      </c>
      <c r="R21" s="21">
        <v>-20856.82</v>
      </c>
      <c r="S21" s="21">
        <v>-27557.09</v>
      </c>
      <c r="T21" s="21">
        <v>-31014.58</v>
      </c>
      <c r="U21" s="21">
        <v>-35839.93</v>
      </c>
      <c r="V21" s="21">
        <v>-32894.85</v>
      </c>
      <c r="W21" s="21">
        <v>-30168.36</v>
      </c>
      <c r="X21" s="21">
        <v>-27596.240000000002</v>
      </c>
      <c r="Y21" s="21">
        <v>-23600.73</v>
      </c>
      <c r="Z21" s="21">
        <v>-21205.8</v>
      </c>
      <c r="AA21" s="21">
        <v>-20927.13</v>
      </c>
      <c r="AB21" s="21">
        <v>-20425.28</v>
      </c>
      <c r="AC21" s="21">
        <v>-23585.31</v>
      </c>
      <c r="AD21" s="21">
        <v>-31868.04</v>
      </c>
      <c r="AE21" s="21">
        <v>-31855.73</v>
      </c>
      <c r="AF21" s="21">
        <v>-33255.4</v>
      </c>
      <c r="AG21" s="21">
        <v>-34167.620000000003</v>
      </c>
      <c r="AH21" s="21">
        <v>-33530.86</v>
      </c>
      <c r="AI21" s="21">
        <v>-30905.01</v>
      </c>
      <c r="AJ21" s="21">
        <v>-27972.25</v>
      </c>
    </row>
    <row r="22" spans="1:36" x14ac:dyDescent="0.2">
      <c r="A22" t="s">
        <v>538</v>
      </c>
      <c r="B22" t="s">
        <v>539</v>
      </c>
      <c r="C22" s="21">
        <v>0</v>
      </c>
      <c r="D22" s="21">
        <v>-14814.69</v>
      </c>
      <c r="E22" s="21">
        <v>-13993.54</v>
      </c>
      <c r="F22" s="21">
        <v>-16618.2</v>
      </c>
      <c r="G22" s="21">
        <v>-24427.43</v>
      </c>
      <c r="H22" s="21">
        <v>-24926.2</v>
      </c>
      <c r="I22" s="21">
        <v>-23873.55</v>
      </c>
      <c r="J22" s="21">
        <v>-24656.19</v>
      </c>
      <c r="K22" s="21">
        <v>-25038.85</v>
      </c>
      <c r="L22" s="21">
        <v>-22072.68</v>
      </c>
      <c r="M22" s="21">
        <v>-19519.41</v>
      </c>
      <c r="N22" s="21">
        <v>-16583.45</v>
      </c>
      <c r="O22" s="21">
        <v>-15637.99</v>
      </c>
      <c r="P22" s="21">
        <v>-16690.37</v>
      </c>
      <c r="Q22" s="21">
        <v>-15199.97</v>
      </c>
      <c r="R22" s="21">
        <v>-19467.41</v>
      </c>
      <c r="S22" s="21">
        <v>-26298.38</v>
      </c>
      <c r="T22" s="21">
        <v>-27335.65</v>
      </c>
      <c r="U22" s="21">
        <v>-26492.33</v>
      </c>
      <c r="V22" s="21">
        <v>-27070.71</v>
      </c>
      <c r="W22" s="21">
        <v>-26975.91</v>
      </c>
      <c r="X22" s="21">
        <v>-25572.31</v>
      </c>
      <c r="Y22" s="21">
        <v>-19703.150000000001</v>
      </c>
      <c r="Z22" s="21">
        <v>-18525.93</v>
      </c>
      <c r="AA22" s="21">
        <v>-18248.919999999998</v>
      </c>
      <c r="AB22" s="21">
        <v>-19463.310000000001</v>
      </c>
      <c r="AC22" s="21">
        <v>-17684.990000000002</v>
      </c>
      <c r="AD22" s="21">
        <v>-19941.61</v>
      </c>
      <c r="AE22" s="21">
        <v>-28968.55</v>
      </c>
      <c r="AF22" s="21">
        <v>-30001.71</v>
      </c>
      <c r="AG22" s="21">
        <v>-30554.65</v>
      </c>
      <c r="AH22" s="21">
        <v>-30426.47</v>
      </c>
      <c r="AI22" s="21">
        <v>-30201.87</v>
      </c>
      <c r="AJ22" s="21">
        <v>-28360.02</v>
      </c>
    </row>
    <row r="23" spans="1:36" x14ac:dyDescent="0.2">
      <c r="A23" t="s">
        <v>540</v>
      </c>
      <c r="B23" t="s">
        <v>541</v>
      </c>
      <c r="C23" s="21">
        <v>0</v>
      </c>
      <c r="D23" s="21">
        <v>-4081.78</v>
      </c>
      <c r="E23" s="21">
        <v>-9206.17</v>
      </c>
      <c r="F23" s="21">
        <v>-17560.89</v>
      </c>
      <c r="G23" s="21">
        <v>-17879.37</v>
      </c>
      <c r="H23" s="21">
        <v>-39434.080000000002</v>
      </c>
      <c r="I23" s="21">
        <v>-57824.480000000003</v>
      </c>
      <c r="J23" s="21">
        <v>-20140.990000000002</v>
      </c>
      <c r="K23" s="21">
        <v>-37279.1</v>
      </c>
      <c r="L23" s="21">
        <v>-48668.49</v>
      </c>
      <c r="M23" s="21">
        <v>-8808.43</v>
      </c>
      <c r="N23" s="21">
        <v>-15883.53</v>
      </c>
      <c r="O23" s="21">
        <v>-22674.45</v>
      </c>
      <c r="P23" s="21">
        <v>-4456.7299999999996</v>
      </c>
      <c r="Q23" s="21">
        <v>-8819.24</v>
      </c>
      <c r="R23" s="21">
        <v>-15748.28</v>
      </c>
      <c r="S23" s="21">
        <v>-18808.27</v>
      </c>
      <c r="T23" s="21">
        <v>-39338.49</v>
      </c>
      <c r="U23" s="21">
        <v>-59804.46</v>
      </c>
      <c r="V23" s="21">
        <v>-18403.3</v>
      </c>
      <c r="W23" s="21">
        <v>-36724.99</v>
      </c>
      <c r="X23" s="21">
        <v>-50506.9</v>
      </c>
      <c r="Y23" s="21">
        <v>-8089.02</v>
      </c>
      <c r="Z23" s="21">
        <v>-15158.95</v>
      </c>
      <c r="AA23" s="21">
        <v>-20081.87</v>
      </c>
      <c r="AB23" s="21">
        <v>-5822.1</v>
      </c>
      <c r="AC23" s="21">
        <v>-11176.59</v>
      </c>
      <c r="AD23" s="21">
        <v>-21369.86</v>
      </c>
      <c r="AE23" s="21">
        <v>-17423.48</v>
      </c>
      <c r="AF23" s="21">
        <v>-42004.18</v>
      </c>
      <c r="AG23" s="21">
        <v>-64972.46</v>
      </c>
      <c r="AH23" s="21">
        <v>-20133.88</v>
      </c>
      <c r="AI23" s="21">
        <v>-39193.57</v>
      </c>
      <c r="AJ23" s="21">
        <v>-50548.11</v>
      </c>
    </row>
    <row r="24" spans="1:36" x14ac:dyDescent="0.2">
      <c r="A24" t="s">
        <v>542</v>
      </c>
      <c r="B24" t="s">
        <v>543</v>
      </c>
      <c r="C24" s="21">
        <v>0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-108.16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-1997.92</v>
      </c>
      <c r="AJ24" s="21">
        <v>0</v>
      </c>
    </row>
    <row r="25" spans="1:36" x14ac:dyDescent="0.2">
      <c r="A25" t="s">
        <v>544</v>
      </c>
      <c r="B25" t="s">
        <v>545</v>
      </c>
      <c r="C25" s="21">
        <v>0</v>
      </c>
      <c r="D25" s="21">
        <v>-650</v>
      </c>
      <c r="E25" s="21">
        <v>-1300</v>
      </c>
      <c r="F25" s="21">
        <v>-1950</v>
      </c>
      <c r="G25" s="21">
        <v>-650</v>
      </c>
      <c r="H25" s="21">
        <v>-1300</v>
      </c>
      <c r="I25" s="21">
        <v>-1950</v>
      </c>
      <c r="J25" s="21">
        <v>-650</v>
      </c>
      <c r="K25" s="21">
        <v>-1300</v>
      </c>
      <c r="L25" s="21">
        <v>-1950</v>
      </c>
      <c r="M25" s="21">
        <v>-650</v>
      </c>
      <c r="N25" s="21">
        <v>-1300</v>
      </c>
      <c r="O25" s="21">
        <v>-1950</v>
      </c>
      <c r="P25" s="21">
        <v>-650</v>
      </c>
      <c r="Q25" s="21">
        <v>-1300</v>
      </c>
      <c r="R25" s="21">
        <v>-1950</v>
      </c>
      <c r="S25" s="21">
        <v>-650</v>
      </c>
      <c r="T25" s="21">
        <v>-1300</v>
      </c>
      <c r="U25" s="21">
        <v>-1950</v>
      </c>
      <c r="V25" s="21">
        <v>-650</v>
      </c>
      <c r="W25" s="21">
        <v>-1300</v>
      </c>
      <c r="X25" s="21">
        <v>-1950</v>
      </c>
      <c r="Y25" s="21">
        <v>-650</v>
      </c>
      <c r="Z25" s="21">
        <v>-1300</v>
      </c>
      <c r="AA25" s="21">
        <v>-1950</v>
      </c>
      <c r="AB25" s="21">
        <v>-650</v>
      </c>
      <c r="AC25" s="21">
        <v>-1300</v>
      </c>
      <c r="AD25" s="21">
        <v>-1950</v>
      </c>
      <c r="AE25" s="21">
        <v>-650</v>
      </c>
      <c r="AF25" s="21">
        <v>-1300</v>
      </c>
      <c r="AG25" s="21">
        <v>-1950</v>
      </c>
      <c r="AH25" s="21">
        <v>-650</v>
      </c>
      <c r="AI25" s="21">
        <v>-1300</v>
      </c>
      <c r="AJ25" s="21">
        <v>-1950</v>
      </c>
    </row>
    <row r="26" spans="1:36" x14ac:dyDescent="0.2">
      <c r="A26" t="s">
        <v>546</v>
      </c>
      <c r="B26" t="s">
        <v>547</v>
      </c>
      <c r="C26" s="21">
        <v>0</v>
      </c>
      <c r="D26" s="21">
        <v>0</v>
      </c>
      <c r="E26" s="21">
        <v>0</v>
      </c>
      <c r="F26" s="21">
        <v>-133000</v>
      </c>
      <c r="G26" s="21">
        <v>-115000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-54000</v>
      </c>
      <c r="R26" s="21">
        <v>-54000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-159000</v>
      </c>
      <c r="AD26" s="21">
        <v>-159000</v>
      </c>
      <c r="AE26" s="21">
        <v>-204000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</row>
    <row r="27" spans="1:36" x14ac:dyDescent="0.2">
      <c r="A27" t="s">
        <v>548</v>
      </c>
      <c r="B27" t="s">
        <v>549</v>
      </c>
      <c r="C27" s="21">
        <v>-250000</v>
      </c>
      <c r="D27" s="21">
        <v>-245833.33</v>
      </c>
      <c r="E27" s="21">
        <v>-241666.66</v>
      </c>
      <c r="F27" s="21">
        <v>-237499.99</v>
      </c>
      <c r="G27" s="21">
        <v>-233333.32</v>
      </c>
      <c r="H27" s="21">
        <v>-229166.65</v>
      </c>
      <c r="I27" s="21">
        <v>-224999.98</v>
      </c>
      <c r="J27" s="21">
        <v>-220833.31</v>
      </c>
      <c r="K27" s="21">
        <v>-216666.64</v>
      </c>
      <c r="L27" s="21">
        <v>-212499.97</v>
      </c>
      <c r="M27" s="21">
        <v>-208333.3</v>
      </c>
      <c r="N27" s="21">
        <v>-204166.63</v>
      </c>
      <c r="O27" s="21">
        <v>-199999.96</v>
      </c>
      <c r="P27" s="21">
        <v>-195833.29</v>
      </c>
      <c r="Q27" s="21">
        <v>-191666.62</v>
      </c>
      <c r="R27" s="21">
        <v>-187499.95</v>
      </c>
      <c r="S27" s="21">
        <v>-183333.28</v>
      </c>
      <c r="T27" s="21">
        <v>-179166.61</v>
      </c>
      <c r="U27" s="21">
        <v>-174999.94</v>
      </c>
      <c r="V27" s="21">
        <v>-170833.27</v>
      </c>
      <c r="W27" s="21">
        <v>-166666.6</v>
      </c>
      <c r="X27" s="21">
        <v>-162499.93</v>
      </c>
      <c r="Y27" s="21">
        <v>-158333.26</v>
      </c>
      <c r="Z27" s="21">
        <v>-154166.59</v>
      </c>
      <c r="AA27" s="21">
        <v>-149999.92000000001</v>
      </c>
      <c r="AB27" s="21">
        <v>-145833.25</v>
      </c>
      <c r="AC27" s="21">
        <v>-141666.57999999999</v>
      </c>
      <c r="AD27" s="21">
        <v>-137499.91</v>
      </c>
      <c r="AE27" s="21">
        <v>-133333.24</v>
      </c>
      <c r="AF27" s="21">
        <v>-129166.57</v>
      </c>
      <c r="AG27" s="21">
        <v>-124999.9</v>
      </c>
      <c r="AH27" s="21">
        <v>-120833.23</v>
      </c>
      <c r="AI27" s="21">
        <v>-116666.56</v>
      </c>
      <c r="AJ27" s="21">
        <v>-112499.89</v>
      </c>
    </row>
    <row r="28" spans="1:36" x14ac:dyDescent="0.2">
      <c r="A28" t="s">
        <v>550</v>
      </c>
      <c r="B28" t="s">
        <v>551</v>
      </c>
      <c r="C28" s="21">
        <v>-600000</v>
      </c>
      <c r="D28" s="21">
        <v>-600000</v>
      </c>
      <c r="E28" s="21">
        <v>-600000</v>
      </c>
      <c r="F28" s="21">
        <v>-600000</v>
      </c>
      <c r="G28" s="21">
        <v>-600000</v>
      </c>
      <c r="H28" s="21">
        <v>-600000</v>
      </c>
      <c r="I28" s="21">
        <v>-600000</v>
      </c>
      <c r="J28" s="21">
        <v>-600000</v>
      </c>
      <c r="K28" s="21">
        <v>-600000</v>
      </c>
      <c r="L28" s="21">
        <v>-600000</v>
      </c>
      <c r="M28" s="21">
        <v>-600000</v>
      </c>
      <c r="N28" s="21">
        <v>-600000</v>
      </c>
      <c r="O28" s="21">
        <v>-600000</v>
      </c>
      <c r="P28" s="21">
        <v>-600000</v>
      </c>
      <c r="Q28" s="21">
        <v>-600000</v>
      </c>
      <c r="R28" s="21">
        <v>-600000</v>
      </c>
      <c r="S28" s="21">
        <v>-600000</v>
      </c>
      <c r="T28" s="21">
        <v>-600000</v>
      </c>
      <c r="U28" s="21">
        <v>-600000</v>
      </c>
      <c r="V28" s="21">
        <v>-600000</v>
      </c>
      <c r="W28" s="21">
        <v>-600000</v>
      </c>
      <c r="X28" s="21">
        <v>-600000</v>
      </c>
      <c r="Y28" s="21">
        <v>-600000</v>
      </c>
      <c r="Z28" s="21">
        <v>-600000</v>
      </c>
      <c r="AA28" s="21">
        <v>-600000</v>
      </c>
      <c r="AB28" s="21">
        <v>-600000</v>
      </c>
      <c r="AC28" s="21">
        <v>-600000</v>
      </c>
      <c r="AD28" s="21">
        <v>-600000</v>
      </c>
      <c r="AE28" s="21">
        <v>-600000</v>
      </c>
      <c r="AF28" s="21">
        <v>-600000</v>
      </c>
      <c r="AG28" s="21">
        <v>-600000</v>
      </c>
      <c r="AH28" s="21">
        <v>-600000</v>
      </c>
      <c r="AI28" s="21">
        <v>-600000</v>
      </c>
      <c r="AJ28" s="21">
        <v>-600000</v>
      </c>
    </row>
    <row r="29" spans="1:36" x14ac:dyDescent="0.2">
      <c r="A29" t="s">
        <v>552</v>
      </c>
      <c r="B29" t="s">
        <v>297</v>
      </c>
      <c r="C29" s="21">
        <v>63638.879999999997</v>
      </c>
      <c r="D29" s="21">
        <v>63638.879999999997</v>
      </c>
      <c r="E29" s="21">
        <v>63638.879999999997</v>
      </c>
      <c r="F29" s="21">
        <v>63638.879999999997</v>
      </c>
      <c r="G29" s="21">
        <v>63638.879999999997</v>
      </c>
      <c r="H29" s="21">
        <v>63638.879999999997</v>
      </c>
      <c r="I29" s="21">
        <v>63638.879999999997</v>
      </c>
      <c r="J29" s="21">
        <v>63638.879999999997</v>
      </c>
      <c r="K29" s="21">
        <v>63638.879999999997</v>
      </c>
      <c r="L29" s="21">
        <v>63638.879999999997</v>
      </c>
      <c r="M29" s="21">
        <v>63638.879999999997</v>
      </c>
      <c r="N29" s="21">
        <v>63638.879999999997</v>
      </c>
      <c r="O29" s="21">
        <v>74479.820000000007</v>
      </c>
      <c r="P29" s="21">
        <v>74479.820000000007</v>
      </c>
      <c r="Q29" s="21">
        <v>74479.820000000007</v>
      </c>
      <c r="R29" s="21">
        <v>74479.820000000007</v>
      </c>
      <c r="S29" s="21">
        <v>74479.820000000007</v>
      </c>
      <c r="T29" s="21">
        <v>74479.820000000007</v>
      </c>
      <c r="U29" s="21">
        <v>74479.820000000007</v>
      </c>
      <c r="V29" s="21">
        <v>74479.820000000007</v>
      </c>
      <c r="W29" s="21">
        <v>74479.820000000007</v>
      </c>
      <c r="X29" s="21">
        <v>74479.820000000007</v>
      </c>
      <c r="Y29" s="21">
        <v>74479.820000000007</v>
      </c>
      <c r="Z29" s="21">
        <v>74479.820000000007</v>
      </c>
      <c r="AA29" s="21">
        <v>98211.57</v>
      </c>
      <c r="AB29" s="21">
        <v>98211.57</v>
      </c>
      <c r="AC29" s="21">
        <v>98211.57</v>
      </c>
      <c r="AD29" s="21">
        <v>98211.57</v>
      </c>
      <c r="AE29" s="21">
        <v>98211.57</v>
      </c>
      <c r="AF29" s="21">
        <v>98211.57</v>
      </c>
      <c r="AG29" s="21">
        <v>98211.57</v>
      </c>
      <c r="AH29" s="21">
        <v>98211.57</v>
      </c>
      <c r="AI29" s="21">
        <v>98211.57</v>
      </c>
      <c r="AJ29" s="21">
        <v>98211.57</v>
      </c>
    </row>
    <row r="30" spans="1:36" x14ac:dyDescent="0.2">
      <c r="A30" t="s">
        <v>553</v>
      </c>
      <c r="B30" t="s">
        <v>328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</row>
    <row r="31" spans="1:36" x14ac:dyDescent="0.2">
      <c r="A31" t="s">
        <v>554</v>
      </c>
      <c r="B31" t="s">
        <v>555</v>
      </c>
      <c r="C31" s="21">
        <v>0</v>
      </c>
      <c r="D31" s="21">
        <v>-50428.97</v>
      </c>
      <c r="E31" s="21">
        <v>-100767.97</v>
      </c>
      <c r="F31" s="21">
        <v>-223584.89</v>
      </c>
      <c r="G31" s="21">
        <v>-519100.73</v>
      </c>
      <c r="H31" s="21">
        <v>-876741.44</v>
      </c>
      <c r="I31" s="21">
        <v>-1187200.28</v>
      </c>
      <c r="J31" s="21">
        <v>-1505346.07</v>
      </c>
      <c r="K31" s="21">
        <v>-1777642.93</v>
      </c>
      <c r="L31" s="21">
        <v>-1938520.84</v>
      </c>
      <c r="M31" s="21">
        <v>-2061400.77</v>
      </c>
      <c r="N31" s="21">
        <v>-2166235.7200000002</v>
      </c>
      <c r="O31" s="21">
        <v>0</v>
      </c>
      <c r="P31" s="21">
        <v>-50401.97</v>
      </c>
      <c r="Q31" s="21">
        <v>-94035.96</v>
      </c>
      <c r="R31" s="21">
        <v>-168106.93</v>
      </c>
      <c r="S31" s="21">
        <v>-480293.71</v>
      </c>
      <c r="T31" s="21">
        <v>-816142.53</v>
      </c>
      <c r="U31" s="21">
        <v>-1146226.32</v>
      </c>
      <c r="V31" s="21">
        <v>-1442208.18</v>
      </c>
      <c r="W31" s="21">
        <v>-1725707.02</v>
      </c>
      <c r="X31" s="21">
        <v>-1928408.85</v>
      </c>
      <c r="Y31" s="21">
        <v>-2034730.77</v>
      </c>
      <c r="Z31" s="21">
        <v>-2140843.7200000002</v>
      </c>
      <c r="AA31" s="21">
        <v>0</v>
      </c>
      <c r="AB31" s="21">
        <v>-73577.94</v>
      </c>
      <c r="AC31" s="21">
        <v>-142375.9</v>
      </c>
      <c r="AD31" s="21">
        <v>-280438.84000000003</v>
      </c>
      <c r="AE31" s="21">
        <v>-543461.63</v>
      </c>
      <c r="AF31" s="21">
        <v>-940396.38</v>
      </c>
      <c r="AG31" s="21">
        <v>-1286497.19</v>
      </c>
      <c r="AH31" s="21">
        <v>-1612299.99</v>
      </c>
      <c r="AI31" s="21">
        <v>-1908993.83</v>
      </c>
      <c r="AJ31" s="21">
        <v>-2081298.67</v>
      </c>
    </row>
    <row r="32" spans="1:36" x14ac:dyDescent="0.2">
      <c r="A32" t="s">
        <v>556</v>
      </c>
      <c r="B32" t="s">
        <v>557</v>
      </c>
      <c r="C32" s="21">
        <v>0</v>
      </c>
      <c r="D32" s="21">
        <v>-7056.26</v>
      </c>
      <c r="E32" s="21">
        <v>-14926.39</v>
      </c>
      <c r="F32" s="21">
        <v>-26059.1</v>
      </c>
      <c r="G32" s="21">
        <v>-44816.15</v>
      </c>
      <c r="H32" s="21">
        <v>-65981.960000000006</v>
      </c>
      <c r="I32" s="21">
        <v>-86763.8</v>
      </c>
      <c r="J32" s="21">
        <v>-107405.67</v>
      </c>
      <c r="K32" s="21">
        <v>-125824.69</v>
      </c>
      <c r="L32" s="21">
        <v>-139254.34</v>
      </c>
      <c r="M32" s="21">
        <v>-152837.01999999999</v>
      </c>
      <c r="N32" s="21">
        <v>-164740.79999999999</v>
      </c>
      <c r="O32" s="21">
        <v>0</v>
      </c>
      <c r="P32" s="21">
        <v>-6670.2</v>
      </c>
      <c r="Q32" s="21">
        <v>-14623.23</v>
      </c>
      <c r="R32" s="21">
        <v>-24972.05</v>
      </c>
      <c r="S32" s="21">
        <v>-44061.07</v>
      </c>
      <c r="T32" s="21">
        <v>-65745.679999999993</v>
      </c>
      <c r="U32" s="21">
        <v>-84327.8</v>
      </c>
      <c r="V32" s="21">
        <v>-102243.82</v>
      </c>
      <c r="W32" s="21">
        <v>-122106.81</v>
      </c>
      <c r="X32" s="21">
        <v>-136992.19</v>
      </c>
      <c r="Y32" s="21">
        <v>-150104.95999999999</v>
      </c>
      <c r="Z32" s="21">
        <v>-159500.97</v>
      </c>
      <c r="AA32" s="21">
        <v>0</v>
      </c>
      <c r="AB32" s="21">
        <v>-9429.01</v>
      </c>
      <c r="AC32" s="21">
        <v>-16279.33</v>
      </c>
      <c r="AD32" s="21">
        <v>-28514.03</v>
      </c>
      <c r="AE32" s="21">
        <v>-46879.17</v>
      </c>
      <c r="AF32" s="21">
        <v>-70605.55</v>
      </c>
      <c r="AG32" s="21">
        <v>-92512.28</v>
      </c>
      <c r="AH32" s="21">
        <v>-113301.2</v>
      </c>
      <c r="AI32" s="21">
        <v>-133713.01</v>
      </c>
      <c r="AJ32" s="21">
        <v>-149069.54999999999</v>
      </c>
    </row>
    <row r="33" spans="1:36" x14ac:dyDescent="0.2">
      <c r="A33" t="s">
        <v>558</v>
      </c>
      <c r="B33" t="s">
        <v>559</v>
      </c>
      <c r="C33" s="21">
        <v>0</v>
      </c>
      <c r="D33" s="21">
        <v>-5897.97</v>
      </c>
      <c r="E33" s="21">
        <v>-10395.959999999999</v>
      </c>
      <c r="F33" s="21">
        <v>-15692.93</v>
      </c>
      <c r="G33" s="21">
        <v>-17792.900000000001</v>
      </c>
      <c r="H33" s="21">
        <v>-21589.88</v>
      </c>
      <c r="I33" s="21">
        <v>-25387.86</v>
      </c>
      <c r="J33" s="21">
        <v>-30584.82</v>
      </c>
      <c r="K33" s="21">
        <v>-36281.81</v>
      </c>
      <c r="L33" s="21">
        <v>-44778.76</v>
      </c>
      <c r="M33" s="21">
        <v>-54771.74</v>
      </c>
      <c r="N33" s="21">
        <v>-56670.73</v>
      </c>
      <c r="O33" s="21">
        <v>0</v>
      </c>
      <c r="P33" s="21">
        <v>-6498.95</v>
      </c>
      <c r="Q33" s="21">
        <v>-8697.93</v>
      </c>
      <c r="R33" s="21">
        <v>-14192.92</v>
      </c>
      <c r="S33" s="21">
        <v>-14892.91</v>
      </c>
      <c r="T33" s="21">
        <v>-27488.85</v>
      </c>
      <c r="U33" s="21">
        <v>-36385.800000000003</v>
      </c>
      <c r="V33" s="21">
        <v>-38683.79</v>
      </c>
      <c r="W33" s="21">
        <v>-40182.78</v>
      </c>
      <c r="X33" s="21">
        <v>-45278.77</v>
      </c>
      <c r="Y33" s="21">
        <v>-54073.75</v>
      </c>
      <c r="Z33" s="21">
        <v>-56972.72</v>
      </c>
      <c r="AA33" s="21">
        <v>0</v>
      </c>
      <c r="AB33" s="21">
        <v>-6993.98</v>
      </c>
      <c r="AC33" s="21">
        <v>-8393.9599999999991</v>
      </c>
      <c r="AD33" s="21">
        <v>-11091.95</v>
      </c>
      <c r="AE33" s="21">
        <v>-21685.91</v>
      </c>
      <c r="AF33" s="21">
        <v>-32077.89</v>
      </c>
      <c r="AG33" s="21">
        <v>-47470.85</v>
      </c>
      <c r="AH33" s="21">
        <v>-54464.83</v>
      </c>
      <c r="AI33" s="21">
        <v>-61762.78</v>
      </c>
      <c r="AJ33" s="21">
        <v>-67360.759999999995</v>
      </c>
    </row>
    <row r="34" spans="1:36" x14ac:dyDescent="0.2">
      <c r="A34" t="s">
        <v>560</v>
      </c>
      <c r="B34" t="s">
        <v>561</v>
      </c>
      <c r="C34" s="21">
        <v>0</v>
      </c>
      <c r="D34" s="21">
        <v>-1059.17</v>
      </c>
      <c r="E34" s="21">
        <v>-1652.48</v>
      </c>
      <c r="F34" s="21">
        <v>-2354.21</v>
      </c>
      <c r="G34" s="21">
        <v>-3799.77</v>
      </c>
      <c r="H34" s="21">
        <v>-5124.38</v>
      </c>
      <c r="I34" s="21">
        <v>-6564.4</v>
      </c>
      <c r="J34" s="21">
        <v>-8250.39</v>
      </c>
      <c r="K34" s="21">
        <v>-9556.01</v>
      </c>
      <c r="L34" s="21">
        <v>-11038.2</v>
      </c>
      <c r="M34" s="21">
        <v>-12387.84</v>
      </c>
      <c r="N34" s="21">
        <v>-13530.06</v>
      </c>
      <c r="O34" s="21">
        <v>0</v>
      </c>
      <c r="P34" s="21">
        <v>-503.31</v>
      </c>
      <c r="Q34" s="21">
        <v>-1887.47</v>
      </c>
      <c r="R34" s="21">
        <v>-2758.73</v>
      </c>
      <c r="S34" s="21">
        <v>-4182.82</v>
      </c>
      <c r="T34" s="21">
        <v>-5853.36</v>
      </c>
      <c r="U34" s="21">
        <v>-7876.81</v>
      </c>
      <c r="V34" s="21">
        <v>-9537.35</v>
      </c>
      <c r="W34" s="21">
        <v>-11227.89</v>
      </c>
      <c r="X34" s="21">
        <v>-12629.03</v>
      </c>
      <c r="Y34" s="21">
        <v>-13613.25</v>
      </c>
      <c r="Z34" s="21">
        <v>-15103.41</v>
      </c>
      <c r="AA34" s="21">
        <v>0</v>
      </c>
      <c r="AB34" s="21">
        <v>-956.74</v>
      </c>
      <c r="AC34" s="21">
        <v>-1945.01</v>
      </c>
      <c r="AD34" s="21">
        <v>-2915.7</v>
      </c>
      <c r="AE34" s="21">
        <v>-4006.85</v>
      </c>
      <c r="AF34" s="21">
        <v>-6100.28</v>
      </c>
      <c r="AG34" s="21">
        <v>-8706.14</v>
      </c>
      <c r="AH34" s="21">
        <v>-10710.61</v>
      </c>
      <c r="AI34" s="21">
        <v>-12178.16</v>
      </c>
      <c r="AJ34" s="21">
        <v>-13585.29</v>
      </c>
    </row>
    <row r="35" spans="1:36" x14ac:dyDescent="0.2">
      <c r="A35" t="s">
        <v>562</v>
      </c>
      <c r="B35" t="s">
        <v>563</v>
      </c>
      <c r="C35" s="21">
        <v>0</v>
      </c>
      <c r="D35" s="21">
        <v>-10273.42</v>
      </c>
      <c r="E35" s="21">
        <v>-31696.57</v>
      </c>
      <c r="F35" s="21">
        <v>-51771.09</v>
      </c>
      <c r="G35" s="21">
        <v>-81383.91</v>
      </c>
      <c r="H35" s="21">
        <v>-117652.26</v>
      </c>
      <c r="I35" s="21">
        <v>-149836.01</v>
      </c>
      <c r="J35" s="21">
        <v>-184673.64</v>
      </c>
      <c r="K35" s="21">
        <v>-219554.8</v>
      </c>
      <c r="L35" s="21">
        <v>-251624.12</v>
      </c>
      <c r="M35" s="21">
        <v>-273527.08</v>
      </c>
      <c r="N35" s="21">
        <v>-288517.53000000003</v>
      </c>
      <c r="O35" s="21">
        <v>0</v>
      </c>
      <c r="P35" s="21">
        <v>-16860.3</v>
      </c>
      <c r="Q35" s="21">
        <v>-34284.660000000003</v>
      </c>
      <c r="R35" s="21">
        <v>-63115.99</v>
      </c>
      <c r="S35" s="21">
        <v>-98389.67</v>
      </c>
      <c r="T35" s="21">
        <v>-136517.91</v>
      </c>
      <c r="U35" s="21">
        <v>-174676.83</v>
      </c>
      <c r="V35" s="21">
        <v>-209033.96</v>
      </c>
      <c r="W35" s="21">
        <v>-245005.51</v>
      </c>
      <c r="X35" s="21">
        <v>-281231.78999999998</v>
      </c>
      <c r="Y35" s="21">
        <v>-305649.88</v>
      </c>
      <c r="Z35" s="21">
        <v>-320732.34000000003</v>
      </c>
      <c r="AA35" s="21">
        <v>0</v>
      </c>
      <c r="AB35" s="21">
        <v>-19532.13</v>
      </c>
      <c r="AC35" s="21">
        <v>-39741.160000000003</v>
      </c>
      <c r="AD35" s="21">
        <v>-67789.77</v>
      </c>
      <c r="AE35" s="21">
        <v>-103555.13</v>
      </c>
      <c r="AF35" s="21">
        <v>-150767.24</v>
      </c>
      <c r="AG35" s="21">
        <v>-199520.8</v>
      </c>
      <c r="AH35" s="21">
        <v>-243481.44</v>
      </c>
      <c r="AI35" s="21">
        <v>-281267.46000000002</v>
      </c>
      <c r="AJ35" s="21">
        <v>-307290.51</v>
      </c>
    </row>
    <row r="36" spans="1:36" x14ac:dyDescent="0.2">
      <c r="A36" t="s">
        <v>564</v>
      </c>
      <c r="B36" t="s">
        <v>565</v>
      </c>
      <c r="C36" s="21">
        <v>0</v>
      </c>
      <c r="D36" s="21">
        <v>-6890.14</v>
      </c>
      <c r="E36" s="21">
        <v>-25321.82</v>
      </c>
      <c r="F36" s="21">
        <v>-39484.83</v>
      </c>
      <c r="G36" s="21">
        <v>-68124.66</v>
      </c>
      <c r="H36" s="21">
        <v>-95837.97</v>
      </c>
      <c r="I36" s="21">
        <v>-116294.81</v>
      </c>
      <c r="J36" s="21">
        <v>-149669.01999999999</v>
      </c>
      <c r="K36" s="21">
        <v>-174301.09</v>
      </c>
      <c r="L36" s="21">
        <v>-197409.57</v>
      </c>
      <c r="M36" s="21">
        <v>-208909.84</v>
      </c>
      <c r="N36" s="21">
        <v>-221010.22</v>
      </c>
      <c r="O36" s="21">
        <v>0</v>
      </c>
      <c r="P36" s="21">
        <v>-11729.17</v>
      </c>
      <c r="Q36" s="21">
        <v>-28219.040000000001</v>
      </c>
      <c r="R36" s="21">
        <v>-49320.2</v>
      </c>
      <c r="S36" s="21">
        <v>-77822.509999999995</v>
      </c>
      <c r="T36" s="21">
        <v>-99608.91</v>
      </c>
      <c r="U36" s="21">
        <v>-125506.65</v>
      </c>
      <c r="V36" s="21">
        <v>-153278.64000000001</v>
      </c>
      <c r="W36" s="21">
        <v>-183662.38</v>
      </c>
      <c r="X36" s="21">
        <v>-214496.9</v>
      </c>
      <c r="Y36" s="21">
        <v>-229963.65</v>
      </c>
      <c r="Z36" s="21">
        <v>-239788.49</v>
      </c>
      <c r="AA36" s="21">
        <v>0</v>
      </c>
      <c r="AB36" s="21">
        <v>-12254.66</v>
      </c>
      <c r="AC36" s="21">
        <v>-25822.57</v>
      </c>
      <c r="AD36" s="21">
        <v>-52660.52</v>
      </c>
      <c r="AE36" s="21">
        <v>-86347.33</v>
      </c>
      <c r="AF36" s="21">
        <v>-116726.41</v>
      </c>
      <c r="AG36" s="21">
        <v>-150853.16</v>
      </c>
      <c r="AH36" s="21">
        <v>-181467.69</v>
      </c>
      <c r="AI36" s="21">
        <v>-210059.81</v>
      </c>
      <c r="AJ36" s="21">
        <v>-227071.06</v>
      </c>
    </row>
    <row r="37" spans="1:36" x14ac:dyDescent="0.2">
      <c r="A37" t="s">
        <v>566</v>
      </c>
      <c r="B37" t="s">
        <v>567</v>
      </c>
      <c r="C37" s="21">
        <v>0</v>
      </c>
      <c r="D37" s="21">
        <v>-845.1</v>
      </c>
      <c r="E37" s="21">
        <v>-1412.1</v>
      </c>
      <c r="F37" s="21">
        <v>-1892.7</v>
      </c>
      <c r="G37" s="21">
        <v>-2419.1999999999998</v>
      </c>
      <c r="H37" s="21">
        <v>-2861.1</v>
      </c>
      <c r="I37" s="21">
        <v>-3611.7</v>
      </c>
      <c r="J37" s="21">
        <v>-5012.1000000000004</v>
      </c>
      <c r="K37" s="21">
        <v>-6240.6</v>
      </c>
      <c r="L37" s="21">
        <v>-6980.4</v>
      </c>
      <c r="M37" s="21">
        <v>-7817.4</v>
      </c>
      <c r="N37" s="21">
        <v>-8964</v>
      </c>
      <c r="O37" s="21">
        <v>0</v>
      </c>
      <c r="P37" s="21">
        <v>-854.1</v>
      </c>
      <c r="Q37" s="21">
        <v>-1935.9</v>
      </c>
      <c r="R37" s="21">
        <v>-3866.4</v>
      </c>
      <c r="S37" s="21">
        <v>-4838.3999999999996</v>
      </c>
      <c r="T37" s="21">
        <v>-7489.8</v>
      </c>
      <c r="U37" s="21">
        <v>-8963.1</v>
      </c>
      <c r="V37" s="21">
        <v>-11023.2</v>
      </c>
      <c r="W37" s="21">
        <v>-12067.2</v>
      </c>
      <c r="X37" s="21">
        <v>-13845.6</v>
      </c>
      <c r="Y37" s="21">
        <v>-14943.6</v>
      </c>
      <c r="Z37" s="21">
        <v>-15976.8</v>
      </c>
      <c r="AA37" s="21">
        <v>0</v>
      </c>
      <c r="AB37" s="21">
        <v>-1331.1</v>
      </c>
      <c r="AC37" s="21">
        <v>-3071.7</v>
      </c>
      <c r="AD37" s="21">
        <v>-4174.2</v>
      </c>
      <c r="AE37" s="21">
        <v>-6399.9</v>
      </c>
      <c r="AF37" s="21">
        <v>-7890.3</v>
      </c>
      <c r="AG37" s="21">
        <v>-10352.700000000001</v>
      </c>
      <c r="AH37" s="21">
        <v>-12550.5</v>
      </c>
      <c r="AI37" s="21">
        <v>-14526</v>
      </c>
      <c r="AJ37" s="21">
        <v>-15817.5</v>
      </c>
    </row>
    <row r="38" spans="1:36" x14ac:dyDescent="0.2">
      <c r="A38" t="s">
        <v>568</v>
      </c>
      <c r="B38" t="s">
        <v>200</v>
      </c>
      <c r="C38" s="21">
        <v>0</v>
      </c>
      <c r="D38" s="21">
        <v>721.87</v>
      </c>
      <c r="E38" s="21">
        <v>1765.96</v>
      </c>
      <c r="F38" s="21">
        <v>4022.81</v>
      </c>
      <c r="G38" s="21">
        <v>17957.05</v>
      </c>
      <c r="H38" s="21">
        <v>27428.41</v>
      </c>
      <c r="I38" s="21">
        <v>35061.33</v>
      </c>
      <c r="J38" s="21">
        <v>40976.089999999997</v>
      </c>
      <c r="K38" s="21">
        <v>44935.360000000001</v>
      </c>
      <c r="L38" s="21">
        <v>48130.43</v>
      </c>
      <c r="M38" s="21">
        <v>50034.46</v>
      </c>
      <c r="N38" s="21">
        <v>56362.83</v>
      </c>
      <c r="O38" s="21">
        <v>0</v>
      </c>
      <c r="P38" s="21">
        <v>1024.5899999999999</v>
      </c>
      <c r="Q38" s="21">
        <v>1513.53</v>
      </c>
      <c r="R38" s="21">
        <v>2845.03</v>
      </c>
      <c r="S38" s="21">
        <v>18736.63</v>
      </c>
      <c r="T38" s="21">
        <v>28393.37</v>
      </c>
      <c r="U38" s="21">
        <v>36348.720000000001</v>
      </c>
      <c r="V38" s="21">
        <v>41006.29</v>
      </c>
      <c r="W38" s="21">
        <v>45903.83</v>
      </c>
      <c r="X38" s="21">
        <v>49103.95</v>
      </c>
      <c r="Y38" s="21">
        <v>51354.55</v>
      </c>
      <c r="Z38" s="21">
        <v>55716.93</v>
      </c>
      <c r="AA38" s="21">
        <v>0</v>
      </c>
      <c r="AB38" s="21">
        <v>1350.77</v>
      </c>
      <c r="AC38" s="21">
        <v>2434.0700000000002</v>
      </c>
      <c r="AD38" s="21">
        <v>4755.05</v>
      </c>
      <c r="AE38" s="21">
        <v>17708.810000000001</v>
      </c>
      <c r="AF38" s="21">
        <v>27030.93</v>
      </c>
      <c r="AG38" s="21">
        <v>35773.379999999997</v>
      </c>
      <c r="AH38" s="21">
        <v>41180.85</v>
      </c>
      <c r="AI38" s="21">
        <v>47692.24</v>
      </c>
      <c r="AJ38" s="21">
        <v>51081.39</v>
      </c>
    </row>
    <row r="39" spans="1:36" x14ac:dyDescent="0.2">
      <c r="A39" t="s">
        <v>569</v>
      </c>
      <c r="B39" t="s">
        <v>202</v>
      </c>
      <c r="C39" s="21">
        <v>0</v>
      </c>
      <c r="D39" s="21">
        <v>94.98</v>
      </c>
      <c r="E39" s="21">
        <v>287.45</v>
      </c>
      <c r="F39" s="21">
        <v>5605.54</v>
      </c>
      <c r="G39" s="21">
        <v>10682.57</v>
      </c>
      <c r="H39" s="21">
        <v>18471.96</v>
      </c>
      <c r="I39" s="21">
        <v>32903.57</v>
      </c>
      <c r="J39" s="21">
        <v>39456.75</v>
      </c>
      <c r="K39" s="21">
        <v>51198.71</v>
      </c>
      <c r="L39" s="21">
        <v>60422.75</v>
      </c>
      <c r="M39" s="21">
        <v>64398.22</v>
      </c>
      <c r="N39" s="21">
        <v>64588.19</v>
      </c>
      <c r="O39" s="21">
        <v>0</v>
      </c>
      <c r="P39" s="21">
        <v>3361.94</v>
      </c>
      <c r="Q39" s="21">
        <v>5791.04</v>
      </c>
      <c r="R39" s="21">
        <v>8531.02</v>
      </c>
      <c r="S39" s="21">
        <v>14623.98</v>
      </c>
      <c r="T39" s="21">
        <v>28730.2</v>
      </c>
      <c r="U39" s="21">
        <v>36575.199999999997</v>
      </c>
      <c r="V39" s="21">
        <v>45901.17</v>
      </c>
      <c r="W39" s="21">
        <v>48523.59</v>
      </c>
      <c r="X39" s="21">
        <v>62612.99</v>
      </c>
      <c r="Y39" s="21">
        <v>68780.92</v>
      </c>
      <c r="Z39" s="21">
        <v>68860.899999999994</v>
      </c>
      <c r="AA39" s="21">
        <v>0</v>
      </c>
      <c r="AB39" s="21">
        <v>6285.12</v>
      </c>
      <c r="AC39" s="21">
        <v>11668.08</v>
      </c>
      <c r="AD39" s="21">
        <v>15440.51</v>
      </c>
      <c r="AE39" s="21">
        <v>18768.41</v>
      </c>
      <c r="AF39" s="21">
        <v>30064.34</v>
      </c>
      <c r="AG39" s="21">
        <v>33308.269999999997</v>
      </c>
      <c r="AH39" s="21">
        <v>57591.74</v>
      </c>
      <c r="AI39" s="21">
        <v>64113.41</v>
      </c>
      <c r="AJ39" s="21">
        <v>72627.89</v>
      </c>
    </row>
    <row r="40" spans="1:36" x14ac:dyDescent="0.2">
      <c r="A40" t="s">
        <v>570</v>
      </c>
      <c r="B40" t="s">
        <v>208</v>
      </c>
      <c r="C40" s="21">
        <v>0</v>
      </c>
      <c r="D40" s="21">
        <v>35896.089999999997</v>
      </c>
      <c r="E40" s="21">
        <v>71345.13</v>
      </c>
      <c r="F40" s="21">
        <v>153932.97</v>
      </c>
      <c r="G40" s="21">
        <v>357916.58</v>
      </c>
      <c r="H40" s="21">
        <v>603425.39</v>
      </c>
      <c r="I40" s="21">
        <v>812315.92</v>
      </c>
      <c r="J40" s="21">
        <v>1032429.5</v>
      </c>
      <c r="K40" s="21">
        <v>1217850.5</v>
      </c>
      <c r="L40" s="21">
        <v>1325003.5900000001</v>
      </c>
      <c r="M40" s="21">
        <v>1409134.13</v>
      </c>
      <c r="N40" s="21">
        <v>1482703</v>
      </c>
      <c r="O40" s="21">
        <v>0</v>
      </c>
      <c r="P40" s="21">
        <v>33766.81</v>
      </c>
      <c r="Q40" s="21">
        <v>62672.23</v>
      </c>
      <c r="R40" s="21">
        <v>113024.65</v>
      </c>
      <c r="S40" s="21">
        <v>327801.84999999998</v>
      </c>
      <c r="T40" s="21">
        <v>553999.74</v>
      </c>
      <c r="U40" s="21">
        <v>780926.32</v>
      </c>
      <c r="V40" s="21">
        <v>984988.25</v>
      </c>
      <c r="W40" s="21">
        <v>1183577.8899999999</v>
      </c>
      <c r="X40" s="21">
        <v>1317268.7</v>
      </c>
      <c r="Y40" s="21">
        <v>1389964.59</v>
      </c>
      <c r="Z40" s="21">
        <v>1465008.16</v>
      </c>
      <c r="AA40" s="21">
        <v>0</v>
      </c>
      <c r="AB40" s="21">
        <v>46825.8</v>
      </c>
      <c r="AC40" s="21">
        <v>92563.93</v>
      </c>
      <c r="AD40" s="21">
        <v>187700.09</v>
      </c>
      <c r="AE40" s="21">
        <v>369861.23</v>
      </c>
      <c r="AF40" s="21">
        <v>641555.81000000006</v>
      </c>
      <c r="AG40" s="21">
        <v>883715.15</v>
      </c>
      <c r="AH40" s="21">
        <v>1095507.3899999999</v>
      </c>
      <c r="AI40" s="21">
        <v>1300639.72</v>
      </c>
      <c r="AJ40" s="21">
        <v>1415139.74</v>
      </c>
    </row>
    <row r="41" spans="1:36" x14ac:dyDescent="0.2">
      <c r="A41" t="s">
        <v>571</v>
      </c>
      <c r="B41" t="s">
        <v>210</v>
      </c>
      <c r="C41" s="21">
        <v>0</v>
      </c>
      <c r="D41" s="21">
        <v>8277.9</v>
      </c>
      <c r="E41" s="21">
        <v>15717.21</v>
      </c>
      <c r="F41" s="21">
        <v>25434.43</v>
      </c>
      <c r="G41" s="21">
        <v>37198.019999999997</v>
      </c>
      <c r="H41" s="21">
        <v>51393.78</v>
      </c>
      <c r="I41" s="21">
        <v>65258.67</v>
      </c>
      <c r="J41" s="21">
        <v>79813.97</v>
      </c>
      <c r="K41" s="21">
        <v>92854.02</v>
      </c>
      <c r="L41" s="21">
        <v>106376.64</v>
      </c>
      <c r="M41" s="21">
        <v>121011.78</v>
      </c>
      <c r="N41" s="21">
        <v>129002.89</v>
      </c>
      <c r="O41" s="21">
        <v>0</v>
      </c>
      <c r="P41" s="21">
        <v>8028.86</v>
      </c>
      <c r="Q41" s="21">
        <v>14395.43</v>
      </c>
      <c r="R41" s="21">
        <v>23933.16</v>
      </c>
      <c r="S41" s="21">
        <v>34742.68</v>
      </c>
      <c r="T41" s="21">
        <v>55529.19</v>
      </c>
      <c r="U41" s="21">
        <v>72109.649999999994</v>
      </c>
      <c r="V41" s="21">
        <v>83323.64</v>
      </c>
      <c r="W41" s="21">
        <v>95324.66</v>
      </c>
      <c r="X41" s="21">
        <v>106785.03</v>
      </c>
      <c r="Y41" s="21">
        <v>117804.89</v>
      </c>
      <c r="Z41" s="21">
        <v>125424.81</v>
      </c>
      <c r="AA41" s="21">
        <v>0</v>
      </c>
      <c r="AB41" s="21">
        <v>10197.620000000001</v>
      </c>
      <c r="AC41" s="21">
        <v>14595.44</v>
      </c>
      <c r="AD41" s="21">
        <v>23071.55</v>
      </c>
      <c r="AE41" s="21">
        <v>40245.32</v>
      </c>
      <c r="AF41" s="21">
        <v>60451.16</v>
      </c>
      <c r="AG41" s="21">
        <v>83637.37</v>
      </c>
      <c r="AH41" s="21">
        <v>100091</v>
      </c>
      <c r="AI41" s="21">
        <v>116169.87</v>
      </c>
      <c r="AJ41" s="21">
        <v>128661.91</v>
      </c>
    </row>
    <row r="42" spans="1:36" x14ac:dyDescent="0.2">
      <c r="A42" t="s">
        <v>572</v>
      </c>
      <c r="B42" t="s">
        <v>573</v>
      </c>
      <c r="C42" s="21">
        <v>0</v>
      </c>
      <c r="D42" s="21">
        <v>574.16999999999996</v>
      </c>
      <c r="E42" s="21">
        <v>1473.47</v>
      </c>
      <c r="F42" s="21">
        <v>1473.47</v>
      </c>
      <c r="G42" s="21">
        <v>1511.16</v>
      </c>
      <c r="H42" s="21">
        <v>1576.14</v>
      </c>
      <c r="I42" s="21">
        <v>7094.67</v>
      </c>
      <c r="J42" s="21">
        <v>7255.13</v>
      </c>
      <c r="K42" s="21">
        <v>10266.89</v>
      </c>
      <c r="L42" s="21">
        <v>10266.89</v>
      </c>
      <c r="M42" s="21">
        <v>10396.879999999999</v>
      </c>
      <c r="N42" s="21">
        <v>10396.879999999999</v>
      </c>
      <c r="O42" s="21">
        <v>0</v>
      </c>
      <c r="P42" s="21">
        <v>12.99</v>
      </c>
      <c r="Q42" s="21">
        <v>2183.6999999999998</v>
      </c>
      <c r="R42" s="21">
        <v>2238.44</v>
      </c>
      <c r="S42" s="21">
        <v>2238.44</v>
      </c>
      <c r="T42" s="21">
        <v>3259.71</v>
      </c>
      <c r="U42" s="21">
        <v>5695.04</v>
      </c>
      <c r="V42" s="21">
        <v>8633.64</v>
      </c>
      <c r="W42" s="21">
        <v>10172.94</v>
      </c>
      <c r="X42" s="21">
        <v>11030.43</v>
      </c>
      <c r="Y42" s="21">
        <v>11576.81</v>
      </c>
      <c r="Z42" s="21">
        <v>11576.81</v>
      </c>
      <c r="AA42" s="21">
        <v>0</v>
      </c>
      <c r="AB42" s="21">
        <v>974.62</v>
      </c>
      <c r="AC42" s="21">
        <v>2227.0500000000002</v>
      </c>
      <c r="AD42" s="21">
        <v>2263.9499999999998</v>
      </c>
      <c r="AE42" s="21">
        <v>2381.46</v>
      </c>
      <c r="AF42" s="21">
        <v>5095.4399999999996</v>
      </c>
      <c r="AG42" s="21">
        <v>5192.82</v>
      </c>
      <c r="AH42" s="21">
        <v>6280.93</v>
      </c>
      <c r="AI42" s="21">
        <v>6404.65</v>
      </c>
      <c r="AJ42" s="21">
        <v>6438.44</v>
      </c>
    </row>
    <row r="43" spans="1:36" x14ac:dyDescent="0.2">
      <c r="A43" t="s">
        <v>574</v>
      </c>
      <c r="B43" t="s">
        <v>214</v>
      </c>
      <c r="C43" s="21">
        <v>0</v>
      </c>
      <c r="D43" s="21">
        <v>3787.28</v>
      </c>
      <c r="E43" s="21">
        <v>13856.38</v>
      </c>
      <c r="F43" s="21">
        <v>21464.18</v>
      </c>
      <c r="G43" s="21">
        <v>36946.61</v>
      </c>
      <c r="H43" s="21">
        <v>52131.95</v>
      </c>
      <c r="I43" s="21">
        <v>63267.87</v>
      </c>
      <c r="J43" s="21">
        <v>81346.710000000006</v>
      </c>
      <c r="K43" s="21">
        <v>94783.34</v>
      </c>
      <c r="L43" s="21">
        <v>107223.82</v>
      </c>
      <c r="M43" s="21">
        <v>113533.14</v>
      </c>
      <c r="N43" s="21">
        <v>120119.5</v>
      </c>
      <c r="O43" s="21">
        <v>0</v>
      </c>
      <c r="P43" s="21">
        <v>6374.14</v>
      </c>
      <c r="Q43" s="21">
        <v>15378.07</v>
      </c>
      <c r="R43" s="21">
        <v>26841.91</v>
      </c>
      <c r="S43" s="21">
        <v>42326.1</v>
      </c>
      <c r="T43" s="21">
        <v>54197.120000000003</v>
      </c>
      <c r="U43" s="21">
        <v>68239.11</v>
      </c>
      <c r="V43" s="21">
        <v>83220.87</v>
      </c>
      <c r="W43" s="21">
        <v>99782.98</v>
      </c>
      <c r="X43" s="21">
        <v>116468.94</v>
      </c>
      <c r="Y43" s="21">
        <v>124759.91</v>
      </c>
      <c r="Z43" s="21">
        <v>130148.83</v>
      </c>
      <c r="AA43" s="21">
        <v>0</v>
      </c>
      <c r="AB43" s="21">
        <v>6616.94</v>
      </c>
      <c r="AC43" s="21">
        <v>13910.37</v>
      </c>
      <c r="AD43" s="21">
        <v>28354.7</v>
      </c>
      <c r="AE43" s="21">
        <v>46479.4</v>
      </c>
      <c r="AF43" s="21">
        <v>62767.63</v>
      </c>
      <c r="AG43" s="21">
        <v>81171.520000000004</v>
      </c>
      <c r="AH43" s="21">
        <v>97747.96</v>
      </c>
      <c r="AI43" s="21">
        <v>113139.36</v>
      </c>
      <c r="AJ43" s="21">
        <v>122256.81</v>
      </c>
    </row>
    <row r="44" spans="1:36" x14ac:dyDescent="0.2">
      <c r="A44" t="s">
        <v>575</v>
      </c>
      <c r="B44" t="s">
        <v>216</v>
      </c>
      <c r="C44" s="21">
        <v>0</v>
      </c>
      <c r="D44" s="21">
        <v>3578.93</v>
      </c>
      <c r="E44" s="21">
        <v>10235.23</v>
      </c>
      <c r="F44" s="21">
        <v>16296.84</v>
      </c>
      <c r="G44" s="21">
        <v>25226.22</v>
      </c>
      <c r="H44" s="21">
        <v>35631.24</v>
      </c>
      <c r="I44" s="21">
        <v>44712.33</v>
      </c>
      <c r="J44" s="21">
        <v>55216.56</v>
      </c>
      <c r="K44" s="21">
        <v>65413.99</v>
      </c>
      <c r="L44" s="21">
        <v>74841.63</v>
      </c>
      <c r="M44" s="21">
        <v>81319.17</v>
      </c>
      <c r="N44" s="21">
        <v>86082.07</v>
      </c>
      <c r="O44" s="21">
        <v>0</v>
      </c>
      <c r="P44" s="21">
        <v>5489.53</v>
      </c>
      <c r="Q44" s="21">
        <v>10985.86</v>
      </c>
      <c r="R44" s="21">
        <v>19810.919999999998</v>
      </c>
      <c r="S44" s="21">
        <v>29779.86</v>
      </c>
      <c r="T44" s="21">
        <v>40962.589999999997</v>
      </c>
      <c r="U44" s="21">
        <v>52147.89</v>
      </c>
      <c r="V44" s="21">
        <v>62697.57</v>
      </c>
      <c r="W44" s="21">
        <v>72616.210000000006</v>
      </c>
      <c r="X44" s="21">
        <v>82986.820000000007</v>
      </c>
      <c r="Y44" s="21">
        <v>90033.1</v>
      </c>
      <c r="Z44" s="21">
        <v>94851.27</v>
      </c>
      <c r="AA44" s="21">
        <v>0</v>
      </c>
      <c r="AB44" s="21">
        <v>6091.83</v>
      </c>
      <c r="AC44" s="21">
        <v>12500.27</v>
      </c>
      <c r="AD44" s="21">
        <v>21123.99</v>
      </c>
      <c r="AE44" s="21">
        <v>31971.39</v>
      </c>
      <c r="AF44" s="21">
        <v>45816.1</v>
      </c>
      <c r="AG44" s="21">
        <v>60487.27</v>
      </c>
      <c r="AH44" s="21">
        <v>73499.490000000005</v>
      </c>
      <c r="AI44" s="21">
        <v>84799.02</v>
      </c>
      <c r="AJ44" s="21">
        <v>92488.44</v>
      </c>
    </row>
    <row r="45" spans="1:36" x14ac:dyDescent="0.2">
      <c r="A45" t="s">
        <v>576</v>
      </c>
      <c r="B45" t="s">
        <v>577</v>
      </c>
      <c r="C45" s="21">
        <v>0</v>
      </c>
      <c r="D45" s="21">
        <v>18147.79</v>
      </c>
      <c r="E45" s="21">
        <v>35536.480000000003</v>
      </c>
      <c r="F45" s="21">
        <v>57732.88</v>
      </c>
      <c r="G45" s="21">
        <v>86180.99</v>
      </c>
      <c r="H45" s="21">
        <v>115626.64</v>
      </c>
      <c r="I45" s="21">
        <v>143751.85999999999</v>
      </c>
      <c r="J45" s="21">
        <v>172657.49</v>
      </c>
      <c r="K45" s="21">
        <v>201543.58</v>
      </c>
      <c r="L45" s="21">
        <v>226851.94</v>
      </c>
      <c r="M45" s="21">
        <v>249565.37</v>
      </c>
      <c r="N45" s="21">
        <v>271692.27</v>
      </c>
      <c r="O45" s="21">
        <v>0</v>
      </c>
      <c r="P45" s="21">
        <v>21899.14</v>
      </c>
      <c r="Q45" s="21">
        <v>42142.28</v>
      </c>
      <c r="R45" s="21">
        <v>64392.89</v>
      </c>
      <c r="S45" s="21">
        <v>96936.53</v>
      </c>
      <c r="T45" s="21">
        <v>130752.59</v>
      </c>
      <c r="U45" s="21">
        <v>163684.14000000001</v>
      </c>
      <c r="V45" s="21">
        <v>196970.31</v>
      </c>
      <c r="W45" s="21">
        <v>230066.88</v>
      </c>
      <c r="X45" s="21">
        <v>261158.37</v>
      </c>
      <c r="Y45" s="21">
        <v>283880.46000000002</v>
      </c>
      <c r="Z45" s="21">
        <v>305531.51</v>
      </c>
      <c r="AA45" s="21">
        <v>0</v>
      </c>
      <c r="AB45" s="21">
        <v>22242.41</v>
      </c>
      <c r="AC45" s="21">
        <v>42853.29</v>
      </c>
      <c r="AD45" s="21">
        <v>66052.31</v>
      </c>
      <c r="AE45" s="21">
        <v>98006.6</v>
      </c>
      <c r="AF45" s="21">
        <v>132027.20000000001</v>
      </c>
      <c r="AG45" s="21">
        <v>166114.39000000001</v>
      </c>
      <c r="AH45" s="21">
        <v>199945.21</v>
      </c>
      <c r="AI45" s="21">
        <v>233326.82</v>
      </c>
      <c r="AJ45" s="21">
        <v>264064.05</v>
      </c>
    </row>
    <row r="46" spans="1:36" x14ac:dyDescent="0.2">
      <c r="A46" t="s">
        <v>578</v>
      </c>
      <c r="B46" t="s">
        <v>579</v>
      </c>
      <c r="C46" s="21">
        <v>0</v>
      </c>
      <c r="D46" s="21">
        <v>6954.21</v>
      </c>
      <c r="E46" s="21">
        <v>11087.17</v>
      </c>
      <c r="F46" s="21">
        <v>15264.59</v>
      </c>
      <c r="G46" s="21">
        <v>25723.01</v>
      </c>
      <c r="H46" s="21">
        <v>33965.08</v>
      </c>
      <c r="I46" s="21">
        <v>43044.800000000003</v>
      </c>
      <c r="J46" s="21">
        <v>53458.55</v>
      </c>
      <c r="K46" s="21">
        <v>65766.38</v>
      </c>
      <c r="L46" s="21">
        <v>78021.31</v>
      </c>
      <c r="M46" s="21">
        <v>87656.77</v>
      </c>
      <c r="N46" s="21">
        <v>94472.88</v>
      </c>
      <c r="O46" s="21">
        <v>0</v>
      </c>
      <c r="P46" s="21">
        <v>5939.99</v>
      </c>
      <c r="Q46" s="21">
        <v>9993.2900000000009</v>
      </c>
      <c r="R46" s="21">
        <v>17860.55</v>
      </c>
      <c r="S46" s="21">
        <v>26898.89</v>
      </c>
      <c r="T46" s="21">
        <v>33587.08</v>
      </c>
      <c r="U46" s="21">
        <v>42907.23</v>
      </c>
      <c r="V46" s="21">
        <v>54422.34</v>
      </c>
      <c r="W46" s="21">
        <v>66456.63</v>
      </c>
      <c r="X46" s="21">
        <v>77929.73</v>
      </c>
      <c r="Y46" s="21">
        <v>87508.26</v>
      </c>
      <c r="Z46" s="21">
        <v>98121.62</v>
      </c>
      <c r="AA46" s="21">
        <v>0</v>
      </c>
      <c r="AB46" s="21">
        <v>10373.629999999999</v>
      </c>
      <c r="AC46" s="21">
        <v>17990.02</v>
      </c>
      <c r="AD46" s="21">
        <v>25316.78</v>
      </c>
      <c r="AE46" s="21">
        <v>39103.96</v>
      </c>
      <c r="AF46" s="21">
        <v>51459.39</v>
      </c>
      <c r="AG46" s="21">
        <v>63310.6</v>
      </c>
      <c r="AH46" s="21">
        <v>79269.91</v>
      </c>
      <c r="AI46" s="21">
        <v>94997.68</v>
      </c>
      <c r="AJ46" s="21">
        <v>112767.42</v>
      </c>
    </row>
    <row r="47" spans="1:36" x14ac:dyDescent="0.2">
      <c r="A47" t="s">
        <v>580</v>
      </c>
      <c r="B47" t="s">
        <v>581</v>
      </c>
      <c r="C47" s="21">
        <v>0</v>
      </c>
      <c r="D47" s="21">
        <v>19000</v>
      </c>
      <c r="E47" s="21">
        <v>38000</v>
      </c>
      <c r="F47" s="21">
        <v>57000</v>
      </c>
      <c r="G47" s="21">
        <v>76000</v>
      </c>
      <c r="H47" s="21">
        <v>95000</v>
      </c>
      <c r="I47" s="21">
        <v>114000</v>
      </c>
      <c r="J47" s="21">
        <v>133000</v>
      </c>
      <c r="K47" s="21">
        <v>152000</v>
      </c>
      <c r="L47" s="21">
        <v>171000</v>
      </c>
      <c r="M47" s="21">
        <v>190000</v>
      </c>
      <c r="N47" s="21">
        <v>209000</v>
      </c>
      <c r="O47" s="21">
        <v>0</v>
      </c>
      <c r="P47" s="21">
        <v>19570</v>
      </c>
      <c r="Q47" s="21">
        <v>39140</v>
      </c>
      <c r="R47" s="21">
        <v>58710</v>
      </c>
      <c r="S47" s="21">
        <v>78280</v>
      </c>
      <c r="T47" s="21">
        <v>97850</v>
      </c>
      <c r="U47" s="21">
        <v>117420</v>
      </c>
      <c r="V47" s="21">
        <v>136990</v>
      </c>
      <c r="W47" s="21">
        <v>156560</v>
      </c>
      <c r="X47" s="21">
        <v>176130</v>
      </c>
      <c r="Y47" s="21">
        <v>195700</v>
      </c>
      <c r="Z47" s="21">
        <v>215270</v>
      </c>
      <c r="AA47" s="21">
        <v>0</v>
      </c>
      <c r="AB47" s="21">
        <v>20157.099999999999</v>
      </c>
      <c r="AC47" s="21">
        <v>40314.199999999997</v>
      </c>
      <c r="AD47" s="21">
        <v>60471.3</v>
      </c>
      <c r="AE47" s="21">
        <v>80628.399999999994</v>
      </c>
      <c r="AF47" s="21">
        <v>100785.5</v>
      </c>
      <c r="AG47" s="21">
        <v>120942.6</v>
      </c>
      <c r="AH47" s="21">
        <v>141099.70000000001</v>
      </c>
      <c r="AI47" s="21">
        <v>161256.79999999999</v>
      </c>
      <c r="AJ47" s="21">
        <v>181413.9</v>
      </c>
    </row>
    <row r="48" spans="1:36" x14ac:dyDescent="0.2">
      <c r="A48" t="s">
        <v>582</v>
      </c>
      <c r="B48" t="s">
        <v>226</v>
      </c>
      <c r="C48" s="21">
        <v>0</v>
      </c>
      <c r="D48" s="21">
        <v>2360.36</v>
      </c>
      <c r="E48" s="21">
        <v>4417.83</v>
      </c>
      <c r="F48" s="21">
        <v>6538.95</v>
      </c>
      <c r="G48" s="21">
        <v>8171.12</v>
      </c>
      <c r="H48" s="21">
        <v>9522.16</v>
      </c>
      <c r="I48" s="21">
        <v>10701.36</v>
      </c>
      <c r="J48" s="21">
        <v>11937.39</v>
      </c>
      <c r="K48" s="21">
        <v>13110.06</v>
      </c>
      <c r="L48" s="21">
        <v>14192.97</v>
      </c>
      <c r="M48" s="21">
        <v>15720.93</v>
      </c>
      <c r="N48" s="21">
        <v>17782.41</v>
      </c>
      <c r="O48" s="21">
        <v>0</v>
      </c>
      <c r="P48" s="21">
        <v>2040.7</v>
      </c>
      <c r="Q48" s="21">
        <v>4424.72</v>
      </c>
      <c r="R48" s="21">
        <v>6226.93</v>
      </c>
      <c r="S48" s="21">
        <v>7891.19</v>
      </c>
      <c r="T48" s="21">
        <v>9085.7099999999991</v>
      </c>
      <c r="U48" s="21">
        <v>10339.24</v>
      </c>
      <c r="V48" s="21">
        <v>11383.05</v>
      </c>
      <c r="W48" s="21">
        <v>12562.8</v>
      </c>
      <c r="X48" s="21">
        <v>13744.04</v>
      </c>
      <c r="Y48" s="21">
        <v>15253.19</v>
      </c>
      <c r="Z48" s="21">
        <v>17064.95</v>
      </c>
      <c r="AA48" s="21">
        <v>0</v>
      </c>
      <c r="AB48" s="21">
        <v>2143.58</v>
      </c>
      <c r="AC48" s="21">
        <v>4178.54</v>
      </c>
      <c r="AD48" s="21">
        <v>6092.62</v>
      </c>
      <c r="AE48" s="21">
        <v>7810.61</v>
      </c>
      <c r="AF48" s="21">
        <v>8997.7199999999993</v>
      </c>
      <c r="AG48" s="21">
        <v>10265.370000000001</v>
      </c>
      <c r="AH48" s="21">
        <v>11434.74</v>
      </c>
      <c r="AI48" s="21">
        <v>12487.48</v>
      </c>
      <c r="AJ48" s="21">
        <v>13697.4</v>
      </c>
    </row>
    <row r="49" spans="1:36" x14ac:dyDescent="0.2">
      <c r="A49" t="s">
        <v>583</v>
      </c>
      <c r="B49" t="s">
        <v>584</v>
      </c>
      <c r="C49" s="21">
        <v>0</v>
      </c>
      <c r="D49" s="21">
        <v>4417.58</v>
      </c>
      <c r="E49" s="21">
        <v>8857.77</v>
      </c>
      <c r="F49" s="21">
        <v>14204.77</v>
      </c>
      <c r="G49" s="21">
        <v>21376.84</v>
      </c>
      <c r="H49" s="21">
        <v>29723.46</v>
      </c>
      <c r="I49" s="21">
        <v>38636.46</v>
      </c>
      <c r="J49" s="21">
        <v>46513.58</v>
      </c>
      <c r="K49" s="21">
        <v>54292.480000000003</v>
      </c>
      <c r="L49" s="21">
        <v>60826.95</v>
      </c>
      <c r="M49" s="21">
        <v>65891.009999999995</v>
      </c>
      <c r="N49" s="21">
        <v>71018.600000000006</v>
      </c>
      <c r="O49" s="21">
        <v>0</v>
      </c>
      <c r="P49" s="21">
        <v>4851.59</v>
      </c>
      <c r="Q49" s="21">
        <v>9784.76</v>
      </c>
      <c r="R49" s="21">
        <v>15418.52</v>
      </c>
      <c r="S49" s="21">
        <v>22103.11</v>
      </c>
      <c r="T49" s="21">
        <v>31067.96</v>
      </c>
      <c r="U49" s="21">
        <v>41102.78</v>
      </c>
      <c r="V49" s="21">
        <v>49703.14</v>
      </c>
      <c r="W49" s="21">
        <v>57679.27</v>
      </c>
      <c r="X49" s="21">
        <v>64323.47</v>
      </c>
      <c r="Y49" s="21">
        <v>69893.25</v>
      </c>
      <c r="Z49" s="21">
        <v>74680.05</v>
      </c>
      <c r="AA49" s="21">
        <v>0</v>
      </c>
      <c r="AB49" s="21">
        <v>4745.1499999999996</v>
      </c>
      <c r="AC49" s="21">
        <v>9867.7999999999993</v>
      </c>
      <c r="AD49" s="21">
        <v>16055.97</v>
      </c>
      <c r="AE49" s="21">
        <v>23803.119999999999</v>
      </c>
      <c r="AF49" s="21">
        <v>33649.82</v>
      </c>
      <c r="AG49" s="21">
        <v>43241.919999999998</v>
      </c>
      <c r="AH49" s="21">
        <v>51893.68</v>
      </c>
      <c r="AI49" s="21">
        <v>59701.75</v>
      </c>
      <c r="AJ49" s="21">
        <v>67311.22</v>
      </c>
    </row>
    <row r="50" spans="1:36" x14ac:dyDescent="0.2">
      <c r="A50" t="s">
        <v>585</v>
      </c>
      <c r="B50" t="s">
        <v>586</v>
      </c>
      <c r="C50" s="21">
        <v>0</v>
      </c>
      <c r="D50" s="21">
        <v>2300</v>
      </c>
      <c r="E50" s="21">
        <v>4600</v>
      </c>
      <c r="F50" s="21">
        <v>6900</v>
      </c>
      <c r="G50" s="21">
        <v>9200</v>
      </c>
      <c r="H50" s="21">
        <v>11500</v>
      </c>
      <c r="I50" s="21">
        <v>13800</v>
      </c>
      <c r="J50" s="21">
        <v>16100</v>
      </c>
      <c r="K50" s="21">
        <v>18400</v>
      </c>
      <c r="L50" s="21">
        <v>20700</v>
      </c>
      <c r="M50" s="21">
        <v>23000</v>
      </c>
      <c r="N50" s="21">
        <v>25300</v>
      </c>
      <c r="O50" s="21">
        <v>0</v>
      </c>
      <c r="P50" s="21">
        <v>2392</v>
      </c>
      <c r="Q50" s="21">
        <v>4784</v>
      </c>
      <c r="R50" s="21">
        <v>7176</v>
      </c>
      <c r="S50" s="21">
        <v>9568</v>
      </c>
      <c r="T50" s="21">
        <v>11960</v>
      </c>
      <c r="U50" s="21">
        <v>14352</v>
      </c>
      <c r="V50" s="21">
        <v>16744</v>
      </c>
      <c r="W50" s="21">
        <v>19136</v>
      </c>
      <c r="X50" s="21">
        <v>21528</v>
      </c>
      <c r="Y50" s="21">
        <v>23920</v>
      </c>
      <c r="Z50" s="21">
        <v>26312</v>
      </c>
      <c r="AA50" s="21">
        <v>0</v>
      </c>
      <c r="AB50" s="21">
        <v>2487.6799999999998</v>
      </c>
      <c r="AC50" s="21">
        <v>4975.3599999999997</v>
      </c>
      <c r="AD50" s="21">
        <v>7463.04</v>
      </c>
      <c r="AE50" s="21">
        <v>9950.7199999999993</v>
      </c>
      <c r="AF50" s="21">
        <v>12438.4</v>
      </c>
      <c r="AG50" s="21">
        <v>14926.08</v>
      </c>
      <c r="AH50" s="21">
        <v>17413.759999999998</v>
      </c>
      <c r="AI50" s="21">
        <v>19901.439999999999</v>
      </c>
      <c r="AJ50" s="21">
        <v>22389.119999999999</v>
      </c>
    </row>
    <row r="51" spans="1:36" x14ac:dyDescent="0.2">
      <c r="A51" t="s">
        <v>587</v>
      </c>
      <c r="B51" t="s">
        <v>588</v>
      </c>
      <c r="C51" s="21">
        <v>0</v>
      </c>
      <c r="D51" s="21">
        <v>3196.99</v>
      </c>
      <c r="E51" s="21">
        <v>6264.68</v>
      </c>
      <c r="F51" s="21">
        <v>9561.5499999999993</v>
      </c>
      <c r="G51" s="21">
        <v>12498.84</v>
      </c>
      <c r="H51" s="21">
        <v>15653.71</v>
      </c>
      <c r="I51" s="21">
        <v>18776.689999999999</v>
      </c>
      <c r="J51" s="21">
        <v>22141.67</v>
      </c>
      <c r="K51" s="21">
        <v>25121.02</v>
      </c>
      <c r="L51" s="21">
        <v>28098.35</v>
      </c>
      <c r="M51" s="21">
        <v>31229.67</v>
      </c>
      <c r="N51" s="21">
        <v>34326.1</v>
      </c>
      <c r="O51" s="21">
        <v>0</v>
      </c>
      <c r="P51" s="21">
        <v>2874.13</v>
      </c>
      <c r="Q51" s="21">
        <v>5991.42</v>
      </c>
      <c r="R51" s="21">
        <v>9157.1</v>
      </c>
      <c r="S51" s="21">
        <v>12259.33</v>
      </c>
      <c r="T51" s="21">
        <v>15348.42</v>
      </c>
      <c r="U51" s="21">
        <v>18671.61</v>
      </c>
      <c r="V51" s="21">
        <v>21711.83</v>
      </c>
      <c r="W51" s="21">
        <v>24865.86</v>
      </c>
      <c r="X51" s="21">
        <v>27985.51</v>
      </c>
      <c r="Y51" s="21">
        <v>30948.68</v>
      </c>
      <c r="Z51" s="21">
        <v>34188.74</v>
      </c>
      <c r="AA51" s="21">
        <v>0</v>
      </c>
      <c r="AB51" s="21">
        <v>3186.44</v>
      </c>
      <c r="AC51" s="21">
        <v>6268.44</v>
      </c>
      <c r="AD51" s="21">
        <v>9300.85</v>
      </c>
      <c r="AE51" s="21">
        <v>12595.31</v>
      </c>
      <c r="AF51" s="21">
        <v>15587.69</v>
      </c>
      <c r="AG51" s="21">
        <v>18703.68</v>
      </c>
      <c r="AH51" s="21">
        <v>21968.39</v>
      </c>
      <c r="AI51" s="21">
        <v>25246.53</v>
      </c>
      <c r="AJ51" s="21">
        <v>28294.65</v>
      </c>
    </row>
    <row r="52" spans="1:36" x14ac:dyDescent="0.2">
      <c r="A52" t="s">
        <v>589</v>
      </c>
      <c r="B52" t="s">
        <v>590</v>
      </c>
      <c r="C52" s="21">
        <v>0</v>
      </c>
      <c r="D52" s="21">
        <v>650</v>
      </c>
      <c r="E52" s="21">
        <v>1300</v>
      </c>
      <c r="F52" s="21">
        <v>1950</v>
      </c>
      <c r="G52" s="21">
        <v>2600</v>
      </c>
      <c r="H52" s="21">
        <v>3250</v>
      </c>
      <c r="I52" s="21">
        <v>3900</v>
      </c>
      <c r="J52" s="21">
        <v>4550</v>
      </c>
      <c r="K52" s="21">
        <v>5200</v>
      </c>
      <c r="L52" s="21">
        <v>5850</v>
      </c>
      <c r="M52" s="21">
        <v>6500</v>
      </c>
      <c r="N52" s="21">
        <v>7150</v>
      </c>
      <c r="O52" s="21">
        <v>0</v>
      </c>
      <c r="P52" s="21">
        <v>650</v>
      </c>
      <c r="Q52" s="21">
        <v>1300</v>
      </c>
      <c r="R52" s="21">
        <v>1950</v>
      </c>
      <c r="S52" s="21">
        <v>2600</v>
      </c>
      <c r="T52" s="21">
        <v>3250</v>
      </c>
      <c r="U52" s="21">
        <v>3900</v>
      </c>
      <c r="V52" s="21">
        <v>4550</v>
      </c>
      <c r="W52" s="21">
        <v>5200</v>
      </c>
      <c r="X52" s="21">
        <v>5850</v>
      </c>
      <c r="Y52" s="21">
        <v>6500</v>
      </c>
      <c r="Z52" s="21">
        <v>7150</v>
      </c>
      <c r="AA52" s="21">
        <v>0</v>
      </c>
      <c r="AB52" s="21">
        <v>650</v>
      </c>
      <c r="AC52" s="21">
        <v>1300</v>
      </c>
      <c r="AD52" s="21">
        <v>1950</v>
      </c>
      <c r="AE52" s="21">
        <v>2600</v>
      </c>
      <c r="AF52" s="21">
        <v>3250</v>
      </c>
      <c r="AG52" s="21">
        <v>3900</v>
      </c>
      <c r="AH52" s="21">
        <v>4550</v>
      </c>
      <c r="AI52" s="21">
        <v>5200</v>
      </c>
      <c r="AJ52" s="21">
        <v>5850</v>
      </c>
    </row>
    <row r="53" spans="1:36" x14ac:dyDescent="0.2">
      <c r="A53" t="s">
        <v>591</v>
      </c>
      <c r="B53" t="s">
        <v>592</v>
      </c>
      <c r="C53" s="21">
        <v>0</v>
      </c>
      <c r="D53" s="21">
        <v>5956.58</v>
      </c>
      <c r="E53" s="21">
        <v>13564.38</v>
      </c>
      <c r="F53" s="21">
        <v>23066.92</v>
      </c>
      <c r="G53" s="21">
        <v>27544.11</v>
      </c>
      <c r="H53" s="21">
        <v>30491.87</v>
      </c>
      <c r="I53" s="21">
        <v>36332.65</v>
      </c>
      <c r="J53" s="21">
        <v>44941.37</v>
      </c>
      <c r="K53" s="21">
        <v>52973.19</v>
      </c>
      <c r="L53" s="21">
        <v>59682.73</v>
      </c>
      <c r="M53" s="21">
        <v>62978.66</v>
      </c>
      <c r="N53" s="21">
        <v>66175.259999999995</v>
      </c>
      <c r="O53" s="21">
        <v>0</v>
      </c>
      <c r="P53" s="21">
        <v>3133.22</v>
      </c>
      <c r="Q53" s="21">
        <v>4322.41</v>
      </c>
      <c r="R53" s="21">
        <v>6689.19</v>
      </c>
      <c r="S53" s="21">
        <v>11252.52</v>
      </c>
      <c r="T53" s="21">
        <v>17730.25</v>
      </c>
      <c r="U53" s="21">
        <v>26908.15</v>
      </c>
      <c r="V53" s="21">
        <v>36718.089999999997</v>
      </c>
      <c r="W53" s="21">
        <v>43850.7</v>
      </c>
      <c r="X53" s="21">
        <v>50841.5</v>
      </c>
      <c r="Y53" s="21">
        <v>56797.46</v>
      </c>
      <c r="Z53" s="21">
        <v>60181.95</v>
      </c>
      <c r="AA53" s="21">
        <v>0</v>
      </c>
      <c r="AB53" s="21">
        <v>2645.66</v>
      </c>
      <c r="AC53" s="21">
        <v>7775.72</v>
      </c>
      <c r="AD53" s="21">
        <v>17059.650000000001</v>
      </c>
      <c r="AE53" s="21">
        <v>22300.62</v>
      </c>
      <c r="AF53" s="21">
        <v>26575.55</v>
      </c>
      <c r="AG53" s="21">
        <v>33269.96</v>
      </c>
      <c r="AH53" s="21">
        <v>41226.99</v>
      </c>
      <c r="AI53" s="21">
        <v>48514.38</v>
      </c>
      <c r="AJ53" s="21">
        <v>55674.61</v>
      </c>
    </row>
    <row r="54" spans="1:36" x14ac:dyDescent="0.2">
      <c r="A54" t="s">
        <v>593</v>
      </c>
      <c r="B54" t="s">
        <v>594</v>
      </c>
      <c r="C54" s="21">
        <v>0</v>
      </c>
      <c r="D54" s="21">
        <v>2161.75</v>
      </c>
      <c r="E54" s="21">
        <v>4275.5200000000004</v>
      </c>
      <c r="F54" s="21">
        <v>7551.48</v>
      </c>
      <c r="G54" s="21">
        <v>15184.31</v>
      </c>
      <c r="H54" s="21">
        <v>23972.57</v>
      </c>
      <c r="I54" s="21">
        <v>31662.2</v>
      </c>
      <c r="J54" s="21">
        <v>38886.89</v>
      </c>
      <c r="K54" s="21">
        <v>45814.92</v>
      </c>
      <c r="L54" s="21">
        <v>50619.49</v>
      </c>
      <c r="M54" s="21">
        <v>54580.68</v>
      </c>
      <c r="N54" s="21">
        <v>57674.55</v>
      </c>
      <c r="O54" s="21">
        <v>0</v>
      </c>
      <c r="P54" s="21">
        <v>2073.35</v>
      </c>
      <c r="Q54" s="21">
        <v>4146.28</v>
      </c>
      <c r="R54" s="21">
        <v>6940.35</v>
      </c>
      <c r="S54" s="21">
        <v>13840.54</v>
      </c>
      <c r="T54" s="21">
        <v>21275.37</v>
      </c>
      <c r="U54" s="21">
        <v>29652.84</v>
      </c>
      <c r="V54" s="21">
        <v>36169.699999999997</v>
      </c>
      <c r="W54" s="21">
        <v>43016.639999999999</v>
      </c>
      <c r="X54" s="21">
        <v>48765.87</v>
      </c>
      <c r="Y54" s="21">
        <v>51960.14</v>
      </c>
      <c r="Z54" s="21">
        <v>55282.33</v>
      </c>
      <c r="AA54" s="21">
        <v>0</v>
      </c>
      <c r="AB54" s="21">
        <v>2678.49</v>
      </c>
      <c r="AC54" s="21">
        <v>5267.58</v>
      </c>
      <c r="AD54" s="21">
        <v>9620.93</v>
      </c>
      <c r="AE54" s="21">
        <v>16052.13</v>
      </c>
      <c r="AF54" s="21">
        <v>24867.41</v>
      </c>
      <c r="AG54" s="21">
        <v>33539.910000000003</v>
      </c>
      <c r="AH54" s="21">
        <v>41722.480000000003</v>
      </c>
      <c r="AI54" s="21">
        <v>49184.13</v>
      </c>
      <c r="AJ54" s="21">
        <v>53921.760000000002</v>
      </c>
    </row>
    <row r="55" spans="1:36" x14ac:dyDescent="0.2">
      <c r="A55" t="s">
        <v>595</v>
      </c>
      <c r="B55" t="s">
        <v>236</v>
      </c>
      <c r="C55" s="21">
        <v>0</v>
      </c>
      <c r="D55" s="21">
        <v>3495.79</v>
      </c>
      <c r="E55" s="21">
        <v>7803.56</v>
      </c>
      <c r="F55" s="21">
        <v>13756.99</v>
      </c>
      <c r="G55" s="21">
        <v>20046.330000000002</v>
      </c>
      <c r="H55" s="21">
        <v>24896.49</v>
      </c>
      <c r="I55" s="21">
        <v>28435.67</v>
      </c>
      <c r="J55" s="21">
        <v>31603.99</v>
      </c>
      <c r="K55" s="21">
        <v>34848.480000000003</v>
      </c>
      <c r="L55" s="21">
        <v>38456.57</v>
      </c>
      <c r="M55" s="21">
        <v>42264.05</v>
      </c>
      <c r="N55" s="21">
        <v>45966.81</v>
      </c>
      <c r="O55" s="21">
        <v>0</v>
      </c>
      <c r="P55" s="21">
        <v>4268.79</v>
      </c>
      <c r="Q55" s="21">
        <v>8620.06</v>
      </c>
      <c r="R55" s="21">
        <v>12854.25</v>
      </c>
      <c r="S55" s="21">
        <v>16513.080000000002</v>
      </c>
      <c r="T55" s="21">
        <v>19243.79</v>
      </c>
      <c r="U55" s="21">
        <v>21609.07</v>
      </c>
      <c r="V55" s="21">
        <v>24236.63</v>
      </c>
      <c r="W55" s="21">
        <v>27004.98</v>
      </c>
      <c r="X55" s="21">
        <v>29875.77</v>
      </c>
      <c r="Y55" s="21">
        <v>33312.43</v>
      </c>
      <c r="Z55" s="21">
        <v>37121.33</v>
      </c>
      <c r="AA55" s="21">
        <v>0</v>
      </c>
      <c r="AB55" s="21">
        <v>4180.88</v>
      </c>
      <c r="AC55" s="21">
        <v>8807.61</v>
      </c>
      <c r="AD55" s="21">
        <v>14593.49</v>
      </c>
      <c r="AE55" s="21">
        <v>20806.759999999998</v>
      </c>
      <c r="AF55" s="21">
        <v>25781.93</v>
      </c>
      <c r="AG55" s="21">
        <v>29392.84</v>
      </c>
      <c r="AH55" s="21">
        <v>32491.19</v>
      </c>
      <c r="AI55" s="21">
        <v>35391.86</v>
      </c>
      <c r="AJ55" s="21">
        <v>38492.33</v>
      </c>
    </row>
    <row r="56" spans="1:36" x14ac:dyDescent="0.2">
      <c r="A56" t="s">
        <v>596</v>
      </c>
      <c r="B56" t="s">
        <v>597</v>
      </c>
      <c r="C56" s="21">
        <v>0</v>
      </c>
      <c r="D56" s="21">
        <v>2619.44</v>
      </c>
      <c r="E56" s="21">
        <v>5238.88</v>
      </c>
      <c r="F56" s="21">
        <v>7858.32</v>
      </c>
      <c r="G56" s="21">
        <v>10477.76</v>
      </c>
      <c r="H56" s="21">
        <v>13338.87</v>
      </c>
      <c r="I56" s="21">
        <v>16199.98</v>
      </c>
      <c r="J56" s="21">
        <v>19061.09</v>
      </c>
      <c r="K56" s="21">
        <v>21922.2</v>
      </c>
      <c r="L56" s="21">
        <v>24783.31</v>
      </c>
      <c r="M56" s="21">
        <v>27644.42</v>
      </c>
      <c r="N56" s="21">
        <v>30505.53</v>
      </c>
      <c r="O56" s="21">
        <v>0</v>
      </c>
      <c r="P56" s="21">
        <v>2861.11</v>
      </c>
      <c r="Q56" s="21">
        <v>5722.22</v>
      </c>
      <c r="R56" s="21">
        <v>8583.33</v>
      </c>
      <c r="S56" s="21">
        <v>11607.77</v>
      </c>
      <c r="T56" s="21">
        <v>14632.21</v>
      </c>
      <c r="U56" s="21">
        <v>17724.36</v>
      </c>
      <c r="V56" s="21">
        <v>20816.509999999998</v>
      </c>
      <c r="W56" s="21">
        <v>23908.66</v>
      </c>
      <c r="X56" s="21">
        <v>27000.81</v>
      </c>
      <c r="Y56" s="21">
        <v>30092.959999999999</v>
      </c>
      <c r="Z56" s="21">
        <v>33185.11</v>
      </c>
      <c r="AA56" s="21">
        <v>0</v>
      </c>
      <c r="AB56" s="21">
        <v>3092.15</v>
      </c>
      <c r="AC56" s="21">
        <v>6184.3</v>
      </c>
      <c r="AD56" s="21">
        <v>9776.4500000000007</v>
      </c>
      <c r="AE56" s="21">
        <v>13368.6</v>
      </c>
      <c r="AF56" s="21">
        <v>17080.75</v>
      </c>
      <c r="AG56" s="21">
        <v>20792.900000000001</v>
      </c>
      <c r="AH56" s="21">
        <v>24505.05</v>
      </c>
      <c r="AI56" s="21">
        <v>28217.200000000001</v>
      </c>
      <c r="AJ56" s="21">
        <v>31929.35</v>
      </c>
    </row>
    <row r="57" spans="1:36" x14ac:dyDescent="0.2">
      <c r="A57" t="s">
        <v>598</v>
      </c>
      <c r="B57" t="s">
        <v>599</v>
      </c>
      <c r="C57" s="21">
        <v>0</v>
      </c>
      <c r="D57" s="21">
        <v>1968.75</v>
      </c>
      <c r="E57" s="21">
        <v>3904.69</v>
      </c>
      <c r="F57" s="21">
        <v>5807.81</v>
      </c>
      <c r="G57" s="21">
        <v>7678.12</v>
      </c>
      <c r="H57" s="21">
        <v>9515.6200000000008</v>
      </c>
      <c r="I57" s="21">
        <v>11279.73</v>
      </c>
      <c r="J57" s="21">
        <v>12994.54</v>
      </c>
      <c r="K57" s="21">
        <v>14641.59</v>
      </c>
      <c r="L57" s="21">
        <v>16218.87</v>
      </c>
      <c r="M57" s="21">
        <v>17736.400000000001</v>
      </c>
      <c r="N57" s="21">
        <v>19160.009999999998</v>
      </c>
      <c r="O57" s="21">
        <v>0</v>
      </c>
      <c r="P57" s="21">
        <v>1279.71</v>
      </c>
      <c r="Q57" s="21">
        <v>2495.5100000000002</v>
      </c>
      <c r="R57" s="21">
        <v>3660.72</v>
      </c>
      <c r="S57" s="21">
        <v>4785.72</v>
      </c>
      <c r="T57" s="21">
        <v>5885.72</v>
      </c>
      <c r="U57" s="21">
        <v>6960.72</v>
      </c>
      <c r="V57" s="21">
        <v>8010.72</v>
      </c>
      <c r="W57" s="21">
        <v>9035.7199999999993</v>
      </c>
      <c r="X57" s="21">
        <v>10021.52</v>
      </c>
      <c r="Y57" s="21">
        <v>10959.59</v>
      </c>
      <c r="Z57" s="21">
        <v>11843.62</v>
      </c>
      <c r="AA57" s="21">
        <v>0</v>
      </c>
      <c r="AB57" s="21">
        <v>837.5</v>
      </c>
      <c r="AC57" s="21">
        <v>1651.74</v>
      </c>
      <c r="AD57" s="21">
        <v>2442.71</v>
      </c>
      <c r="AE57" s="21">
        <v>3210.42</v>
      </c>
      <c r="AF57" s="21">
        <v>3954.86</v>
      </c>
      <c r="AG57" s="21">
        <v>4676.04</v>
      </c>
      <c r="AH57" s="21">
        <v>5373.96</v>
      </c>
      <c r="AI57" s="21">
        <v>6048.61</v>
      </c>
      <c r="AJ57" s="21">
        <v>6700</v>
      </c>
    </row>
    <row r="58" spans="1:36" x14ac:dyDescent="0.2">
      <c r="A58" t="s">
        <v>600</v>
      </c>
      <c r="B58" t="s">
        <v>601</v>
      </c>
      <c r="C58" s="21">
        <v>0</v>
      </c>
      <c r="D58" s="21">
        <v>0</v>
      </c>
      <c r="E58" s="21">
        <v>0</v>
      </c>
      <c r="F58" s="21">
        <v>104.26</v>
      </c>
      <c r="G58" s="21">
        <v>1570.24</v>
      </c>
      <c r="H58" s="21">
        <v>2356.0700000000002</v>
      </c>
      <c r="I58" s="21">
        <v>2356.0700000000002</v>
      </c>
      <c r="J58" s="21">
        <v>2356.0700000000002</v>
      </c>
      <c r="K58" s="21">
        <v>2356.0700000000002</v>
      </c>
      <c r="L58" s="21">
        <v>2356.0700000000002</v>
      </c>
      <c r="M58" s="21">
        <v>2356.0700000000002</v>
      </c>
      <c r="N58" s="21">
        <v>2356.0700000000002</v>
      </c>
      <c r="O58" s="21">
        <v>0</v>
      </c>
      <c r="P58" s="21">
        <v>0</v>
      </c>
      <c r="Q58" s="21">
        <v>0</v>
      </c>
      <c r="R58" s="21">
        <v>272.04000000000002</v>
      </c>
      <c r="S58" s="21">
        <v>539.79</v>
      </c>
      <c r="T58" s="21">
        <v>539.79</v>
      </c>
      <c r="U58" s="21">
        <v>539.79</v>
      </c>
      <c r="V58" s="21">
        <v>539.79</v>
      </c>
      <c r="W58" s="21">
        <v>539.79</v>
      </c>
      <c r="X58" s="21">
        <v>539.79</v>
      </c>
      <c r="Y58" s="21">
        <v>539.79</v>
      </c>
      <c r="Z58" s="21">
        <v>539.79</v>
      </c>
      <c r="AA58" s="21">
        <v>0</v>
      </c>
      <c r="AB58" s="21">
        <v>0</v>
      </c>
      <c r="AC58" s="21">
        <v>286.13</v>
      </c>
      <c r="AD58" s="21">
        <v>1008.26</v>
      </c>
      <c r="AE58" s="21">
        <v>2243.44</v>
      </c>
      <c r="AF58" s="21">
        <v>3169.94</v>
      </c>
      <c r="AG58" s="21">
        <v>3169.94</v>
      </c>
      <c r="AH58" s="21">
        <v>3169.94</v>
      </c>
      <c r="AI58" s="21">
        <v>3169.94</v>
      </c>
      <c r="AJ58" s="21">
        <v>3169.94</v>
      </c>
    </row>
    <row r="59" spans="1:36" x14ac:dyDescent="0.2">
      <c r="A59" t="s">
        <v>602</v>
      </c>
      <c r="B59" t="s">
        <v>603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108.16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1997.92</v>
      </c>
      <c r="AJ59" s="21">
        <v>0</v>
      </c>
    </row>
    <row r="60" spans="1:36" x14ac:dyDescent="0.2">
      <c r="A60" s="17"/>
      <c r="B60" s="17" t="s">
        <v>604</v>
      </c>
      <c r="C60" s="22">
        <f t="shared" ref="C60:AJ60" si="0">ROUND(SUM(C6:C59),2)</f>
        <v>0</v>
      </c>
      <c r="D60" s="22">
        <f t="shared" si="0"/>
        <v>0</v>
      </c>
      <c r="E60" s="22">
        <f t="shared" si="0"/>
        <v>0</v>
      </c>
      <c r="F60" s="22">
        <f t="shared" si="0"/>
        <v>0</v>
      </c>
      <c r="G60" s="22">
        <f t="shared" si="0"/>
        <v>0</v>
      </c>
      <c r="H60" s="22">
        <f t="shared" si="0"/>
        <v>0</v>
      </c>
      <c r="I60" s="22">
        <f t="shared" si="0"/>
        <v>0</v>
      </c>
      <c r="J60" s="22">
        <f t="shared" si="0"/>
        <v>0</v>
      </c>
      <c r="K60" s="22">
        <f t="shared" si="0"/>
        <v>0</v>
      </c>
      <c r="L60" s="22">
        <f t="shared" si="0"/>
        <v>0</v>
      </c>
      <c r="M60" s="22">
        <f t="shared" si="0"/>
        <v>0</v>
      </c>
      <c r="N60" s="22">
        <f t="shared" si="0"/>
        <v>0</v>
      </c>
      <c r="O60" s="22">
        <f t="shared" si="0"/>
        <v>0</v>
      </c>
      <c r="P60" s="22">
        <f t="shared" si="0"/>
        <v>0</v>
      </c>
      <c r="Q60" s="22">
        <f t="shared" si="0"/>
        <v>0</v>
      </c>
      <c r="R60" s="22">
        <f t="shared" si="0"/>
        <v>0</v>
      </c>
      <c r="S60" s="22">
        <f t="shared" si="0"/>
        <v>0</v>
      </c>
      <c r="T60" s="22">
        <f t="shared" si="0"/>
        <v>0</v>
      </c>
      <c r="U60" s="22">
        <f t="shared" si="0"/>
        <v>0</v>
      </c>
      <c r="V60" s="22">
        <f t="shared" si="0"/>
        <v>0</v>
      </c>
      <c r="W60" s="22">
        <f t="shared" si="0"/>
        <v>0</v>
      </c>
      <c r="X60" s="22">
        <f t="shared" si="0"/>
        <v>0</v>
      </c>
      <c r="Y60" s="22">
        <f t="shared" si="0"/>
        <v>0</v>
      </c>
      <c r="Z60" s="22">
        <f t="shared" si="0"/>
        <v>0</v>
      </c>
      <c r="AA60" s="22">
        <f t="shared" si="0"/>
        <v>0</v>
      </c>
      <c r="AB60" s="22">
        <f t="shared" si="0"/>
        <v>0</v>
      </c>
      <c r="AC60" s="22">
        <f t="shared" si="0"/>
        <v>0</v>
      </c>
      <c r="AD60" s="22">
        <f t="shared" si="0"/>
        <v>0</v>
      </c>
      <c r="AE60" s="22">
        <f t="shared" si="0"/>
        <v>0</v>
      </c>
      <c r="AF60" s="22">
        <f t="shared" si="0"/>
        <v>0</v>
      </c>
      <c r="AG60" s="22">
        <f t="shared" si="0"/>
        <v>0</v>
      </c>
      <c r="AH60" s="22">
        <f t="shared" si="0"/>
        <v>0</v>
      </c>
      <c r="AI60" s="22">
        <f t="shared" si="0"/>
        <v>0</v>
      </c>
      <c r="AJ60" s="22">
        <f t="shared" si="0"/>
        <v>0</v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Assumptions</vt:lpstr>
      <vt:lpstr>Drivers</vt:lpstr>
      <vt:lpstr>Forecast</vt:lpstr>
      <vt:lpstr>Scenario_Results</vt:lpstr>
      <vt:lpstr>Checks</vt:lpstr>
      <vt:lpstr>Hist_IS</vt:lpstr>
      <vt:lpstr>Hist_BS</vt:lpstr>
      <vt:lpstr>Hist_CF</vt:lpstr>
      <vt:lpstr>Hist_Balances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M</cp:lastModifiedBy>
  <dcterms:created xsi:type="dcterms:W3CDTF">2026-10-09T17:08:00Z</dcterms:created>
  <dcterms:modified xsi:type="dcterms:W3CDTF">2026-10-09T17:24:52Z</dcterms:modified>
</cp:coreProperties>
</file>